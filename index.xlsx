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idades" sheetId="2" state="visible" r:id="rId4"/>
    <sheet name="Report Semanal" sheetId="3" state="visible" r:id="rId5"/>
    <sheet name="Painel Financei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<sst xmlns="http://schemas.openxmlformats.org/spreadsheetml/2006/main" count="884" uniqueCount="385">
  <si>
    <t xml:space="preserve">CAMPANHA GUSTAVO REIS 2026 — Base de Dados | Guia de Uso</t>
  </si>
  <si>
    <t xml:space="preserve">ABA</t>
  </si>
  <si>
    <t xml:space="preserve">DESCRIÇÃO</t>
  </si>
  <si>
    <t xml:space="preserve">Cidades</t>
  </si>
  <si>
    <t xml:space="preserve">Base principal ÚNICA. Tudo numa linha por cidade: eleitorado, metas, financeiro, coordenação, dobradas e lideranças. Aba de Lideranças foi eliminada.</t>
  </si>
  <si>
    <t xml:space="preserve">Report Semanal</t>
  </si>
  <si>
    <t xml:space="preserve">Report das lideranças. Uma linha por ação. Preencha semanalmente (ou diário em campanha).</t>
  </si>
  <si>
    <t xml:space="preserve">Painel Financeiro</t>
  </si>
  <si>
    <t xml:space="preserve">Preencha só coluna D (Gasto Realizado). Saldo e % são automáticos.</t>
  </si>
  <si>
    <t xml:space="preserve">LEGENDA CORES</t>
  </si>
  <si>
    <t xml:space="preserve">Amarelo</t>
  </si>
  <si>
    <t xml:space="preserve">Preenchimento manual — campos que mudam com frequência.</t>
  </si>
  <si>
    <t xml:space="preserve">Verde claro (linha)</t>
  </si>
  <si>
    <t xml:space="preserve">✅ OK — cidade completa e estruturada.</t>
  </si>
  <si>
    <t xml:space="preserve">Âmbar claro (linha)</t>
  </si>
  <si>
    <t xml:space="preserve">⚠️ Atenção — falta alguma informação.</t>
  </si>
  <si>
    <t xml:space="preserve">Cinza claro (linha)</t>
  </si>
  <si>
    <t xml:space="preserve">🔘 Sem dados — cidade mapeada sem estrutura.</t>
  </si>
  <si>
    <t xml:space="preserve">Roxo claro (colunas)</t>
  </si>
  <si>
    <t xml:space="preserve">Bloco de Estrutura Política.</t>
  </si>
  <si>
    <t xml:space="preserve">FREQUÊNCIA</t>
  </si>
  <si>
    <t xml:space="preserve">Pré-campanha</t>
  </si>
  <si>
    <t xml:space="preserve">Semanal — toda segunda-feira.</t>
  </si>
  <si>
    <t xml:space="preserve">Em campanha</t>
  </si>
  <si>
    <t xml:space="preserve">Diária ou 3x/semana.</t>
  </si>
  <si>
    <t xml:space="preserve">PRÓXIMOS PASSOS</t>
  </si>
  <si>
    <t xml:space="preserve">1</t>
  </si>
  <si>
    <t xml:space="preserve">Preencher cidades sem prioridade (coluna C vazia).</t>
  </si>
  <si>
    <t xml:space="preserve">2</t>
  </si>
  <si>
    <t xml:space="preserve">Completar Liderança Local 1 e 2 das cidades prioritárias.</t>
  </si>
  <si>
    <t xml:space="preserve">3</t>
  </si>
  <si>
    <t xml:space="preserve">Google Forms para lideranças reportarem do campo.</t>
  </si>
  <si>
    <t xml:space="preserve">4</t>
  </si>
  <si>
    <t xml:space="preserve">Subir HTML atualizado no GitHub após cada update.</t>
  </si>
  <si>
    <t xml:space="preserve">BASE DE DADOS — CAMPANHA GUSTAVO REIS 2026  |  79 municípios  |  Atualizado: 31/05/2025</t>
  </si>
  <si>
    <t xml:space="preserve">DADOS DO MUNICÍPIO</t>
  </si>
  <si>
    <t xml:space="preserve">METAS E FINANCEIRO</t>
  </si>
  <si>
    <t xml:space="preserve">ESTRUTURA POLÍTICA</t>
  </si>
  <si>
    <t xml:space="preserve">Cidade</t>
  </si>
  <si>
    <t xml:space="preserve">Região</t>
  </si>
  <si>
    <t xml:space="preserve">Prior.</t>
  </si>
  <si>
    <t xml:space="preserve">Prefeito</t>
  </si>
  <si>
    <t xml:space="preserve">Partido</t>
  </si>
  <si>
    <t xml:space="preserve">Eleitores</t>
  </si>
  <si>
    <t xml:space="preserve">Votos Válidos</t>
  </si>
  <si>
    <t xml:space="preserve">G.R. 2022</t>
  </si>
  <si>
    <t xml:space="preserve">Aniversário</t>
  </si>
  <si>
    <t xml:space="preserve">Últ. Update</t>
  </si>
  <si>
    <t xml:space="preserve">Status</t>
  </si>
  <si>
    <t xml:space="preserve">Prev. Votos</t>
  </si>
  <si>
    <t xml:space="preserve">Prev. Pessimista</t>
  </si>
  <si>
    <t xml:space="preserve">Orçamento (R$)</t>
  </si>
  <si>
    <t xml:space="preserve">CPV (R$/v)</t>
  </si>
  <si>
    <t xml:space="preserve">Nº Lids</t>
  </si>
  <si>
    <t xml:space="preserve">Gasto Real. (R$)</t>
  </si>
  <si>
    <t xml:space="preserve">Coordenação</t>
  </si>
  <si>
    <t xml:space="preserve">Dobrada Dep. Federal</t>
  </si>
  <si>
    <t xml:space="preserve">Liderança Política</t>
  </si>
  <si>
    <t xml:space="preserve">Status Dobrada</t>
  </si>
  <si>
    <t xml:space="preserve">Obs. Política</t>
  </si>
  <si>
    <t xml:space="preserve">Liderança Local 1</t>
  </si>
  <si>
    <t xml:space="preserve">JAGUARIÚNA</t>
  </si>
  <si>
    <t xml:space="preserve">RMC</t>
  </si>
  <si>
    <t xml:space="preserve">⭐ A</t>
  </si>
  <si>
    <t xml:space="preserve">DAVI</t>
  </si>
  <si>
    <t xml:space="preserve">PP</t>
  </si>
  <si>
    <t xml:space="preserve">4977</t>
  </si>
  <si>
    <t xml:space="preserve">12/07</t>
  </si>
  <si>
    <t xml:space="preserve">✅ OK</t>
  </si>
  <si>
    <t xml:space="preserve">ROMILSON/NENE</t>
  </si>
  <si>
    <t xml:space="preserve">Carlos Sampaio / Paulo Alexandre / Denis Andida / Vinicius Marchesi / Baleia Rossi / Barjas Negri / luis Fernando / Jonas Donizete</t>
  </si>
  <si>
    <t xml:space="preserve">Vice Pref. Valdir Parisi - Ver. Graça / Ver. Cristiano Cecon</t>
  </si>
  <si>
    <t xml:space="preserve">Confirmada</t>
  </si>
  <si>
    <t xml:space="preserve">CAMPINAS</t>
  </si>
  <si>
    <t xml:space="preserve">DÁRIO SAADI</t>
  </si>
  <si>
    <t xml:space="preserve">REPUBLICANOS</t>
  </si>
  <si>
    <t xml:space="preserve">685</t>
  </si>
  <si>
    <t xml:space="preserve">14/07</t>
  </si>
  <si>
    <t xml:space="preserve">LUIZ LAURO</t>
  </si>
  <si>
    <t xml:space="preserve">Carlos Sampaio / Denis Andida / Luis Lauro</t>
  </si>
  <si>
    <t xml:space="preserve">ARTUR NOGUEIRA</t>
  </si>
  <si>
    <t xml:space="preserve">LUCAS SAI</t>
  </si>
  <si>
    <t xml:space="preserve">PL</t>
  </si>
  <si>
    <t xml:space="preserve">500</t>
  </si>
  <si>
    <t xml:space="preserve">🔘 Sem dados</t>
  </si>
  <si>
    <t xml:space="preserve">CAPATO</t>
  </si>
  <si>
    <t xml:space="preserve">Disponível</t>
  </si>
  <si>
    <t xml:space="preserve">JUNDIAÍ</t>
  </si>
  <si>
    <t xml:space="preserve">GUSTAVO MARTINELLI</t>
  </si>
  <si>
    <t xml:space="preserve">UNIÃO</t>
  </si>
  <si>
    <t xml:space="preserve">19</t>
  </si>
  <si>
    <t xml:space="preserve">14/12</t>
  </si>
  <si>
    <t xml:space="preserve">⚠️ Atenção</t>
  </si>
  <si>
    <t xml:space="preserve">JAMES</t>
  </si>
  <si>
    <t xml:space="preserve">Paulo Alexandre / Luis Fernando</t>
  </si>
  <si>
    <t xml:space="preserve">Sup. Fabio da Guarda</t>
  </si>
  <si>
    <t xml:space="preserve">SANTA BÁRBARA D’OESTE</t>
  </si>
  <si>
    <t xml:space="preserve">RAFAEL PIOVEZAN</t>
  </si>
  <si>
    <t xml:space="preserve">-</t>
  </si>
  <si>
    <t xml:space="preserve">04/12</t>
  </si>
  <si>
    <t xml:space="preserve">EUDICE</t>
  </si>
  <si>
    <t xml:space="preserve">Denis Andida</t>
  </si>
  <si>
    <t xml:space="preserve">LOUVEIRA</t>
  </si>
  <si>
    <t xml:space="preserve">Circuito das Frutas</t>
  </si>
  <si>
    <t xml:space="preserve">PAULO FINAMORE</t>
  </si>
  <si>
    <t xml:space="preserve">MDB</t>
  </si>
  <si>
    <t xml:space="preserve">21/03</t>
  </si>
  <si>
    <t xml:space="preserve">JAMES/SENA</t>
  </si>
  <si>
    <t xml:space="preserve">Carlos Sampaio / Saulo Pedroso / Luis Fernando / Denis Andida / Padre Silvio Andrey</t>
  </si>
  <si>
    <t xml:space="preserve">Ver. Clayton Finamore / Sup. Jota / Ver. Juares Mineiro</t>
  </si>
  <si>
    <t xml:space="preserve">MOGI-MIRIM</t>
  </si>
  <si>
    <t xml:space="preserve">B Mogiana</t>
  </si>
  <si>
    <t xml:space="preserve">DR PAULO SILVA</t>
  </si>
  <si>
    <t xml:space="preserve">PDT</t>
  </si>
  <si>
    <t xml:space="preserve">22/10</t>
  </si>
  <si>
    <t xml:space="preserve">FERNANDO</t>
  </si>
  <si>
    <t xml:space="preserve">Vinicius Marchesi / Mota</t>
  </si>
  <si>
    <t xml:space="preserve">Ver. Pres, Camara Cristiano Gayoto / Wilian Mendes / Marcos Segatti / Joelma Porto</t>
  </si>
  <si>
    <t xml:space="preserve">NOVA ODESSA</t>
  </si>
  <si>
    <t xml:space="preserve">LEITINHO</t>
  </si>
  <si>
    <t xml:space="preserve">PSD</t>
  </si>
  <si>
    <t xml:space="preserve">24/05</t>
  </si>
  <si>
    <t xml:space="preserve">PAULíNIA</t>
  </si>
  <si>
    <t xml:space="preserve">DANILO BARROS</t>
  </si>
  <si>
    <t xml:space="preserve">15</t>
  </si>
  <si>
    <t xml:space="preserve">28/02</t>
  </si>
  <si>
    <t xml:space="preserve">AMANDA</t>
  </si>
  <si>
    <t xml:space="preserve">Paulo Freire</t>
  </si>
  <si>
    <t xml:space="preserve">Ex. Ver. Kiko</t>
  </si>
  <si>
    <t xml:space="preserve">PEDREIRA</t>
  </si>
  <si>
    <t xml:space="preserve">Circuito das Águas</t>
  </si>
  <si>
    <t xml:space="preserve">FABIO POLIDORO</t>
  </si>
  <si>
    <t xml:space="preserve">720</t>
  </si>
  <si>
    <t xml:space="preserve">31/10</t>
  </si>
  <si>
    <t xml:space="preserve">LÉO</t>
  </si>
  <si>
    <t xml:space="preserve">Paulo Alexandre / Jonas Donizete / Denis Andida / PADRE SILVIO ANDREY</t>
  </si>
  <si>
    <t xml:space="preserve">Vereador Paulela / Ver. Leo Cirilo</t>
  </si>
  <si>
    <t xml:space="preserve">SANTO ANTÔNIO DE POSSE</t>
  </si>
  <si>
    <t xml:space="preserve">RICARDO CORTEZ</t>
  </si>
  <si>
    <t xml:space="preserve">1090</t>
  </si>
  <si>
    <t xml:space="preserve">13/06</t>
  </si>
  <si>
    <t xml:space="preserve">ROMILSON</t>
  </si>
  <si>
    <t xml:space="preserve">Zaratini / Denis Andida / BRUNO WELINGTON</t>
  </si>
  <si>
    <t xml:space="preserve">Vereadora Claudia Lala / MAURICIO COMISSO / BISPA SANDRA</t>
  </si>
  <si>
    <t xml:space="preserve">VINHEDO</t>
  </si>
  <si>
    <t xml:space="preserve">DR. DARIO</t>
  </si>
  <si>
    <t xml:space="preserve">23</t>
  </si>
  <si>
    <t xml:space="preserve">02/04</t>
  </si>
  <si>
    <t xml:space="preserve">JAIME</t>
  </si>
  <si>
    <t xml:space="preserve">Carlos Sampaio / Denis Andida</t>
  </si>
  <si>
    <t xml:space="preserve">Sup. Cicero Cabelereiro / Vice Pref. Mineirinho</t>
  </si>
  <si>
    <t xml:space="preserve">AMERICANA</t>
  </si>
  <si>
    <t xml:space="preserve">🔵 B</t>
  </si>
  <si>
    <t xml:space="preserve">CHICO SARDELLI</t>
  </si>
  <si>
    <t xml:space="preserve">91</t>
  </si>
  <si>
    <t xml:space="preserve">Denis Andida / Eli Correia</t>
  </si>
  <si>
    <t xml:space="preserve">Kaue Trevisan - Regiane</t>
  </si>
  <si>
    <t xml:space="preserve">AMPARO</t>
  </si>
  <si>
    <t xml:space="preserve">CARLOS ALBERTO</t>
  </si>
  <si>
    <t xml:space="preserve">699</t>
  </si>
  <si>
    <t xml:space="preserve">RODRIGO</t>
  </si>
  <si>
    <t xml:space="preserve">Paulo Alexandre / Saulo Pedroso</t>
  </si>
  <si>
    <t xml:space="preserve">Paulo Rossi</t>
  </si>
  <si>
    <t xml:space="preserve">ARARAS</t>
  </si>
  <si>
    <t xml:space="preserve">RMP</t>
  </si>
  <si>
    <t xml:space="preserve">IRINEU MARRETTO</t>
  </si>
  <si>
    <t xml:space="preserve">6</t>
  </si>
  <si>
    <t xml:space="preserve">EUDICE/SILVINO</t>
  </si>
  <si>
    <t xml:space="preserve">Paulo Alexandre / Renato Bolsonaro</t>
  </si>
  <si>
    <t xml:space="preserve">COSMÓPOLIS</t>
  </si>
  <si>
    <t xml:space="preserve">JUNIOR FELISBINO</t>
  </si>
  <si>
    <t xml:space="preserve">20</t>
  </si>
  <si>
    <t xml:space="preserve">30/11</t>
  </si>
  <si>
    <t xml:space="preserve">MOSCA</t>
  </si>
  <si>
    <t xml:space="preserve">Carlos Sampaio / Saulo Pedroso</t>
  </si>
  <si>
    <t xml:space="preserve">Sec. Elcio - Marcos Mosca - Pref. Junior</t>
  </si>
  <si>
    <t xml:space="preserve">HORTOLÂNDIA</t>
  </si>
  <si>
    <t xml:space="preserve">ZEZÉ GOMES</t>
  </si>
  <si>
    <t xml:space="preserve">13</t>
  </si>
  <si>
    <t xml:space="preserve">19/05</t>
  </si>
  <si>
    <t xml:space="preserve">SIMONE</t>
  </si>
  <si>
    <t xml:space="preserve">ÁGUAS DE LINDÓIA</t>
  </si>
  <si>
    <t xml:space="preserve">GERALDINHO MANTOVANI</t>
  </si>
  <si>
    <t xml:space="preserve">16/11</t>
  </si>
  <si>
    <t xml:space="preserve">Paulo Alexandre</t>
  </si>
  <si>
    <t xml:space="preserve">BRAGANÇA PAULISTA</t>
  </si>
  <si>
    <t xml:space="preserve">EDMIR CHEDID</t>
  </si>
  <si>
    <t xml:space="preserve">49</t>
  </si>
  <si>
    <t xml:space="preserve">SILVINO</t>
  </si>
  <si>
    <t xml:space="preserve">HOLAMBRA</t>
  </si>
  <si>
    <t xml:space="preserve">FERNANDO CAPATO</t>
  </si>
  <si>
    <t xml:space="preserve">286</t>
  </si>
  <si>
    <t xml:space="preserve">27/10</t>
  </si>
  <si>
    <t xml:space="preserve">LIMEIRA</t>
  </si>
  <si>
    <t xml:space="preserve">MURILO FÉLIX</t>
  </si>
  <si>
    <t xml:space="preserve">PODEMOS</t>
  </si>
  <si>
    <t xml:space="preserve">15/09</t>
  </si>
  <si>
    <t xml:space="preserve">MOGI-GUAÇU</t>
  </si>
  <si>
    <t xml:space="preserve">RODRIGO FALSETTI</t>
  </si>
  <si>
    <t xml:space="preserve">09/04</t>
  </si>
  <si>
    <t xml:space="preserve">Vinicius Marchesi</t>
  </si>
  <si>
    <t xml:space="preserve">Sup. Dr. Gustavo Franco</t>
  </si>
  <si>
    <t xml:space="preserve">MONTE ALEGRE DO SUL</t>
  </si>
  <si>
    <t xml:space="preserve">RAFA VESSAN</t>
  </si>
  <si>
    <t xml:space="preserve">55</t>
  </si>
  <si>
    <t xml:space="preserve">06/08</t>
  </si>
  <si>
    <t xml:space="preserve">Alexandre Gritti</t>
  </si>
  <si>
    <t xml:space="preserve">PIRACAIA</t>
  </si>
  <si>
    <t xml:space="preserve">Bragantina</t>
  </si>
  <si>
    <t xml:space="preserve">ANDRÉ ROGÉRIO</t>
  </si>
  <si>
    <t xml:space="preserve">16/06</t>
  </si>
  <si>
    <t xml:space="preserve">PIRACICABA</t>
  </si>
  <si>
    <t xml:space="preserve">HELINHO ZANATTA</t>
  </si>
  <si>
    <t xml:space="preserve">8</t>
  </si>
  <si>
    <t xml:space="preserve">01/08</t>
  </si>
  <si>
    <t xml:space="preserve">WALTINHO</t>
  </si>
  <si>
    <t xml:space="preserve">Barjas Negri</t>
  </si>
  <si>
    <t xml:space="preserve">RIO CLARO</t>
  </si>
  <si>
    <t xml:space="preserve">GUSTAVO PERISSINOTTO</t>
  </si>
  <si>
    <t xml:space="preserve">24/06</t>
  </si>
  <si>
    <t xml:space="preserve">SERRA NEGRA</t>
  </si>
  <si>
    <t xml:space="preserve">ELMIR CHEDID</t>
  </si>
  <si>
    <t xml:space="preserve">188</t>
  </si>
  <si>
    <t xml:space="preserve">23/09</t>
  </si>
  <si>
    <t xml:space="preserve">EUDICE/RODRIGO</t>
  </si>
  <si>
    <t xml:space="preserve">Rodrigo Oliveira</t>
  </si>
  <si>
    <t xml:space="preserve">SOCORRO</t>
  </si>
  <si>
    <t xml:space="preserve">MAURICIO DE OLIVEIRA SANTOS</t>
  </si>
  <si>
    <t xml:space="preserve">09/08</t>
  </si>
  <si>
    <t xml:space="preserve">SUMARÉ</t>
  </si>
  <si>
    <t xml:space="preserve">HENRIQUE DO PARAÍSO</t>
  </si>
  <si>
    <t xml:space="preserve">26/07</t>
  </si>
  <si>
    <t xml:space="preserve">VALINHOS</t>
  </si>
  <si>
    <t xml:space="preserve">FRANKLIN</t>
  </si>
  <si>
    <t xml:space="preserve">17</t>
  </si>
  <si>
    <t xml:space="preserve">28/05</t>
  </si>
  <si>
    <t xml:space="preserve">Victor Manprine</t>
  </si>
  <si>
    <t xml:space="preserve">BOM JESUS DOS PERDÕES</t>
  </si>
  <si>
    <t xml:space="preserve">⚪ C</t>
  </si>
  <si>
    <t xml:space="preserve">SÉRGIO FERREIRA</t>
  </si>
  <si>
    <t xml:space="preserve">PSDB</t>
  </si>
  <si>
    <t xml:space="preserve">ENGENHEIRO COELHO</t>
  </si>
  <si>
    <t xml:space="preserve">PEDRO FRANCO</t>
  </si>
  <si>
    <t xml:space="preserve">ITUPEVA</t>
  </si>
  <si>
    <t xml:space="preserve">ROGÉRIO CAVALIN</t>
  </si>
  <si>
    <t xml:space="preserve">Paulo Alexandre / Denis Andida</t>
  </si>
  <si>
    <t xml:space="preserve">LINDÓIA</t>
  </si>
  <si>
    <t xml:space="preserve">LUCIANO LOPES</t>
  </si>
  <si>
    <t xml:space="preserve">Vice Pref. Luis Claudio - PSD -  Pref. Luciano</t>
  </si>
  <si>
    <t xml:space="preserve">MONTE MOR</t>
  </si>
  <si>
    <t xml:space="preserve">MURILO RINALDI</t>
  </si>
  <si>
    <t xml:space="preserve">26</t>
  </si>
  <si>
    <t xml:space="preserve">24/03</t>
  </si>
  <si>
    <t xml:space="preserve">ELIAS FAUSTO</t>
  </si>
  <si>
    <t xml:space="preserve">TATO BICUDO</t>
  </si>
  <si>
    <t xml:space="preserve">Rangel</t>
  </si>
  <si>
    <t xml:space="preserve">IRACEMAPÓLIS</t>
  </si>
  <si>
    <t xml:space="preserve">BM</t>
  </si>
  <si>
    <t xml:space="preserve">LNELITA MICHEL</t>
  </si>
  <si>
    <t xml:space="preserve">03/05</t>
  </si>
  <si>
    <t xml:space="preserve">João Cury</t>
  </si>
  <si>
    <t xml:space="preserve">Ver, João Cleber / Felipe Marcelo</t>
  </si>
  <si>
    <t xml:space="preserve">ITAPIRA</t>
  </si>
  <si>
    <t xml:space="preserve">TONINHO BELLINI</t>
  </si>
  <si>
    <t xml:space="preserve">78</t>
  </si>
  <si>
    <t xml:space="preserve">24/10</t>
  </si>
  <si>
    <t xml:space="preserve">Silvino - Rodrigo</t>
  </si>
  <si>
    <t xml:space="preserve">ITATIBA</t>
  </si>
  <si>
    <t xml:space="preserve">DR THOMÁS</t>
  </si>
  <si>
    <t xml:space="preserve">12</t>
  </si>
  <si>
    <t xml:space="preserve">01/11</t>
  </si>
  <si>
    <t xml:space="preserve">JARINÚ</t>
  </si>
  <si>
    <t xml:space="preserve">RMJ</t>
  </si>
  <si>
    <t xml:space="preserve">DÉBORA PRADO</t>
  </si>
  <si>
    <t xml:space="preserve">17/04</t>
  </si>
  <si>
    <t xml:space="preserve">Sec Gov Sebastião</t>
  </si>
  <si>
    <t xml:space="preserve">JOANÓPOLIS</t>
  </si>
  <si>
    <t xml:space="preserve">CRISTIANO DA EMA</t>
  </si>
  <si>
    <t xml:space="preserve">17/08</t>
  </si>
  <si>
    <t xml:space="preserve">PINHALZINHO</t>
  </si>
  <si>
    <t xml:space="preserve">TIÃO ZANARDI</t>
  </si>
  <si>
    <t xml:space="preserve">Alexandre Zito</t>
  </si>
  <si>
    <t xml:space="preserve">VÁRZEA PAULISTA</t>
  </si>
  <si>
    <t xml:space="preserve">PROFESSOR RODOLFO</t>
  </si>
  <si>
    <t xml:space="preserve">FRANCISCO MORATO</t>
  </si>
  <si>
    <t xml:space="preserve">RMSP</t>
  </si>
  <si>
    <t xml:space="preserve">ILDO GUSMÃO</t>
  </si>
  <si>
    <t xml:space="preserve">Silvino Cintra</t>
  </si>
  <si>
    <t xml:space="preserve">NAZARÉ PAULISTA</t>
  </si>
  <si>
    <t xml:space="preserve">PROFESSORA GUINHA</t>
  </si>
  <si>
    <t xml:space="preserve">21/11</t>
  </si>
  <si>
    <t xml:space="preserve">RIO DAS PEDRAS</t>
  </si>
  <si>
    <t xml:space="preserve">MARCOS BUZETTO</t>
  </si>
  <si>
    <t xml:space="preserve">10/07</t>
  </si>
  <si>
    <t xml:space="preserve">MOSCA/EUDICE</t>
  </si>
  <si>
    <t xml:space="preserve">TUIUTI</t>
  </si>
  <si>
    <t xml:space="preserve">PSB</t>
  </si>
  <si>
    <t xml:space="preserve">Saulo Pedroso / Paulo Alexandre</t>
  </si>
  <si>
    <t xml:space="preserve">Prefeito Careca - Nande</t>
  </si>
  <si>
    <t xml:space="preserve">VARGEM</t>
  </si>
  <si>
    <t xml:space="preserve">LEO ALVES</t>
  </si>
  <si>
    <t xml:space="preserve">30/12</t>
  </si>
  <si>
    <t xml:space="preserve">ESTIVA GERBI</t>
  </si>
  <si>
    <t xml:space="preserve">MARCIO PAVAN</t>
  </si>
  <si>
    <t xml:space="preserve">SOLIDARIEDADE</t>
  </si>
  <si>
    <t xml:space="preserve">IGARATÁ</t>
  </si>
  <si>
    <t xml:space="preserve">Vale</t>
  </si>
  <si>
    <t xml:space="preserve">GABRIEL PRIANTI</t>
  </si>
  <si>
    <t xml:space="preserve">05/12</t>
  </si>
  <si>
    <t xml:space="preserve">MOMBUCA</t>
  </si>
  <si>
    <t xml:space="preserve">PALITINHO</t>
  </si>
  <si>
    <t xml:space="preserve">SALTINHO</t>
  </si>
  <si>
    <t xml:space="preserve">HELINHO BERNARDINHO</t>
  </si>
  <si>
    <t xml:space="preserve">SANTA MARIA DA SERRA</t>
  </si>
  <si>
    <t xml:space="preserve">ZANI</t>
  </si>
  <si>
    <t xml:space="preserve">SÃO PEDRO</t>
  </si>
  <si>
    <t xml:space="preserve">THIAGO SILVA</t>
  </si>
  <si>
    <t xml:space="preserve">73</t>
  </si>
  <si>
    <t xml:space="preserve">22/02</t>
  </si>
  <si>
    <t xml:space="preserve">RANGEL</t>
  </si>
  <si>
    <t xml:space="preserve">ÁGUAS DE SÃO PEDRO</t>
  </si>
  <si>
    <t xml:space="preserve">JOÃO VITOR</t>
  </si>
  <si>
    <t xml:space="preserve">25/07</t>
  </si>
  <si>
    <t xml:space="preserve">ATIBAIA</t>
  </si>
  <si>
    <t xml:space="preserve">7</t>
  </si>
  <si>
    <t xml:space="preserve">MORUNGABA</t>
  </si>
  <si>
    <t xml:space="preserve">FERNANDÃO</t>
  </si>
  <si>
    <t xml:space="preserve">29/06</t>
  </si>
  <si>
    <t xml:space="preserve">PEDRA BELA</t>
  </si>
  <si>
    <t xml:space="preserve">DERLEI</t>
  </si>
  <si>
    <t xml:space="preserve">06/04</t>
  </si>
  <si>
    <t xml:space="preserve">RAFARD</t>
  </si>
  <si>
    <t xml:space="preserve">FABINHO</t>
  </si>
  <si>
    <t xml:space="preserve">AMÉRICO BRASILIENSE</t>
  </si>
  <si>
    <t xml:space="preserve">Renato Bolsonaro</t>
  </si>
  <si>
    <t xml:space="preserve">ARARAQUARA</t>
  </si>
  <si>
    <t xml:space="preserve">BEBEDOURO</t>
  </si>
  <si>
    <t xml:space="preserve">CABREÚVA</t>
  </si>
  <si>
    <t xml:space="preserve">Val Mangini</t>
  </si>
  <si>
    <t xml:space="preserve">CAIEIRAS</t>
  </si>
  <si>
    <t xml:space="preserve">GILMAR LAGOINHA</t>
  </si>
  <si>
    <t xml:space="preserve">CANDIDO RODRIGUES</t>
  </si>
  <si>
    <t xml:space="preserve">CAPIVARI</t>
  </si>
  <si>
    <t xml:space="preserve">VITÃO RICCOMINI</t>
  </si>
  <si>
    <t xml:space="preserve">CATANDUVA</t>
  </si>
  <si>
    <t xml:space="preserve">CORDEIRÓPOLIS</t>
  </si>
  <si>
    <t xml:space="preserve">CRISTINA SAAD</t>
  </si>
  <si>
    <t xml:space="preserve">GUARIBA</t>
  </si>
  <si>
    <t xml:space="preserve">MONTE AZUL</t>
  </si>
  <si>
    <t xml:space="preserve">OLIMPIA</t>
  </si>
  <si>
    <t xml:space="preserve">PITANGUEIRAS</t>
  </si>
  <si>
    <t xml:space="preserve">RIBEIRÃO BONITO</t>
  </si>
  <si>
    <t xml:space="preserve">RINCÃO</t>
  </si>
  <si>
    <t xml:space="preserve">25</t>
  </si>
  <si>
    <t xml:space="preserve">SANTA ERNESTINA</t>
  </si>
  <si>
    <t xml:space="preserve">SANTA LUCIA</t>
  </si>
  <si>
    <t xml:space="preserve">SERTÃOZINHO</t>
  </si>
  <si>
    <t xml:space="preserve">Renato Bolsonaro / Baleia Rossi</t>
  </si>
  <si>
    <t xml:space="preserve">Sup. Ver. Fred</t>
  </si>
  <si>
    <t xml:space="preserve">TABATINGA</t>
  </si>
  <si>
    <t xml:space="preserve">VOTUPORANGA</t>
  </si>
  <si>
    <t xml:space="preserve">TOTAL GERAL</t>
  </si>
  <si>
    <t xml:space="preserve">REPORT SEMANAL — CAMPANHA GUSTAVO REIS 2026</t>
  </si>
  <si>
    <t xml:space="preserve">⚠️  MARCIO: Células AMARELAS = input manual. Uma linha por ação. Use listas suspensas para consistência.</t>
  </si>
  <si>
    <t xml:space="preserve">Semana</t>
  </si>
  <si>
    <t xml:space="preserve">Data</t>
  </si>
  <si>
    <t xml:space="preserve">Coordenador</t>
  </si>
  <si>
    <t xml:space="preserve">Ação Realizada</t>
  </si>
  <si>
    <t xml:space="preserve">Tipo Ação</t>
  </si>
  <si>
    <t xml:space="preserve">Votos Estimados</t>
  </si>
  <si>
    <t xml:space="preserve">Novos Contatos</t>
  </si>
  <si>
    <t xml:space="preserve">Gasto (R$)</t>
  </si>
  <si>
    <t xml:space="preserve">Categoria Gasto</t>
  </si>
  <si>
    <t xml:space="preserve">Status Ação</t>
  </si>
  <si>
    <t xml:space="preserve">Observação</t>
  </si>
  <si>
    <t xml:space="preserve">Validado (Marcio)</t>
  </si>
  <si>
    <t xml:space="preserve">PAINEL FINANCEIRO — CAMPANHA GUSTAVO REIS 2026</t>
  </si>
  <si>
    <t xml:space="preserve">Prioridade</t>
  </si>
  <si>
    <t xml:space="preserve">Gasto Realizado (R$)</t>
  </si>
  <si>
    <t xml:space="preserve">Saldo (R$)</t>
  </si>
  <si>
    <t xml:space="preserve">% Executado</t>
  </si>
  <si>
    <t xml:space="preserve">Votos Previstos</t>
  </si>
  <si>
    <t xml:space="preserve">CPV Realizado (R$/v)</t>
  </si>
  <si>
    <t xml:space="preserve">TOTAL</t>
  </si>
  <si>
    <t xml:space="preserve">⚠️  Coluna D = Gasto Realizado (preenchimento manual). Células AMARELAS.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</si>
</sst>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"/>
    <numFmt numFmtId="167" formatCode="&quot;R$ &quot;#,##0.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3380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A3270"/>
        <bgColor rgb="FF0F4C9E"/>
      </patternFill>
    </fill>
    <fill>
      <patternFill patternType="solid">
        <fgColor rgb="FF0F4C9E"/>
        <bgColor rgb="FF0A3270"/>
      </patternFill>
    </fill>
    <fill>
      <patternFill patternType="solid">
        <fgColor rgb="FFE8F0FC"/>
        <bgColor rgb="FFEBF3FF"/>
      </patternFill>
    </fill>
    <fill>
      <patternFill patternType="solid">
        <fgColor rgb="FF1A7A4A"/>
        <bgColor rgb="FF008080"/>
      </patternFill>
    </fill>
    <fill>
      <patternFill patternType="solid">
        <fgColor rgb="FF6B3FA0"/>
        <bgColor rgb="FF993366"/>
      </patternFill>
    </fill>
    <fill>
      <patternFill patternType="solid">
        <fgColor rgb="FFFFF9E6"/>
        <bgColor rgb="FFFEF3E2"/>
      </patternFill>
    </fill>
    <fill>
      <patternFill patternType="solid">
        <fgColor rgb="FFE6F4ED"/>
        <bgColor rgb="FFE8F0FC"/>
      </patternFill>
    </fill>
    <fill>
      <patternFill patternType="solid">
        <fgColor rgb="FFFFF2CC"/>
        <bgColor rgb="FFFEF3E2"/>
      </patternFill>
    </fill>
    <fill>
      <patternFill patternType="solid">
        <fgColor rgb="FFF0E8FF"/>
        <bgColor rgb="FFE8F0FC"/>
      </patternFill>
    </fill>
    <fill>
      <patternFill patternType="solid">
        <fgColor rgb="FFF4F5F7"/>
        <bgColor rgb="FFF3F4F6"/>
      </patternFill>
    </fill>
    <fill>
      <patternFill patternType="solid">
        <fgColor rgb="FFFEF3E2"/>
        <bgColor rgb="FFFFF9E6"/>
      </patternFill>
    </fill>
    <fill>
      <patternFill patternType="solid">
        <fgColor rgb="FFEBF3FF"/>
        <bgColor rgb="FFE8F0FC"/>
      </patternFill>
    </fill>
    <fill>
      <patternFill patternType="solid">
        <fgColor rgb="FFF3F4F6"/>
        <bgColor rgb="FFF4F5F7"/>
      </patternFill>
    </fill>
    <fill>
      <patternFill patternType="solid">
        <fgColor rgb="FFF9FAFB"/>
        <bgColor rgb="FFF4F5F7"/>
      </patternFill>
    </fill>
    <fill>
      <patternFill patternType="solid">
        <fgColor rgb="FFD97706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  <border diagonalUp="false" diagonalDown="false">
      <left style="thin">
        <color rgb="FFD0D3DA"/>
      </left>
      <right/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F0E8FF"/>
      <rgbColor rgb="FF808080"/>
      <rgbColor rgb="FF9999FF"/>
      <rgbColor rgb="FF993366"/>
      <rgbColor rgb="FFFFF9E6"/>
      <rgbColor rgb="FFE6F4ED"/>
      <rgbColor rgb="FF660066"/>
      <rgbColor rgb="FFFF8080"/>
      <rgbColor rgb="FF0F4C9E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C"/>
      <rgbColor rgb="FFEBF3FF"/>
      <rgbColor rgb="FFFFF2CC"/>
      <rgbColor rgb="FFF3F4F6"/>
      <rgbColor rgb="FFF4F5F7"/>
      <rgbColor rgb="FFF9FAFB"/>
      <rgbColor rgb="FFFEF3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A3270"/>
      <rgbColor rgb="FF339966"/>
      <rgbColor rgb="FF003300"/>
      <rgbColor rgb="FF633806"/>
      <rgbColor rgb="FF993300"/>
      <rgbColor rgb="FF993366"/>
      <rgbColor rgb="FF6B3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</cols>
  <sheetData>
    <row r="1" customFormat="false" ht="27.75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 t="s">
        <v>2</v>
      </c>
    </row>
    <row r="3" customFormat="false" ht="30" hidden="false" customHeight="true" outlineLevel="0" collapsed="false">
      <c r="A3" s="3" t="s">
        <v>3</v>
      </c>
      <c r="B3" s="4" t="s">
        <v>4</v>
      </c>
    </row>
    <row r="4" customFormat="false" ht="30" hidden="false" customHeight="true" outlineLevel="0" collapsed="false">
      <c r="A4" s="3" t="s">
        <v>5</v>
      </c>
      <c r="B4" s="4" t="s">
        <v>6</v>
      </c>
    </row>
    <row r="5" customFormat="false" ht="30" hidden="false" customHeight="true" outlineLevel="0" collapsed="false">
      <c r="A5" s="3" t="s">
        <v>7</v>
      </c>
      <c r="B5" s="4" t="s">
        <v>8</v>
      </c>
    </row>
    <row r="6" customFormat="false" ht="21.75" hidden="false" customHeight="true" outlineLevel="0" collapsed="false"/>
    <row r="7" customFormat="false" ht="24" hidden="false" customHeight="true" outlineLevel="0" collapsed="false">
      <c r="A7" s="2" t="s">
        <v>9</v>
      </c>
      <c r="B7" s="2"/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21.75" hidden="false" customHeight="true" outlineLevel="0" collapsed="false"/>
    <row r="14" customFormat="false" ht="24" hidden="false" customHeight="true" outlineLevel="0" collapsed="false">
      <c r="A14" s="2" t="s">
        <v>20</v>
      </c>
      <c r="B14" s="2"/>
    </row>
    <row r="15" customFormat="false" ht="30" hidden="false" customHeight="true" outlineLevel="0" collapsed="false">
      <c r="A15" s="3" t="s">
        <v>21</v>
      </c>
      <c r="B15" s="4" t="s">
        <v>22</v>
      </c>
    </row>
    <row r="16" customFormat="false" ht="30" hidden="false" customHeight="true" outlineLevel="0" collapsed="false">
      <c r="A16" s="3" t="s">
        <v>23</v>
      </c>
      <c r="B16" s="4" t="s">
        <v>24</v>
      </c>
    </row>
    <row r="17" customFormat="false" ht="21.75" hidden="false" customHeight="true" outlineLevel="0" collapsed="false"/>
    <row r="18" customFormat="false" ht="24" hidden="false" customHeight="true" outlineLevel="0" collapsed="false">
      <c r="A18" s="2" t="s">
        <v>25</v>
      </c>
      <c r="B18" s="2"/>
    </row>
    <row r="19" customFormat="false" ht="30" hidden="false" customHeight="true" outlineLevel="0" collapsed="false">
      <c r="A19" s="3" t="s">
        <v>26</v>
      </c>
      <c r="B19" s="4" t="s">
        <v>27</v>
      </c>
    </row>
    <row r="20" customFormat="false" ht="30" hidden="false" customHeight="true" outlineLevel="0" collapsed="false">
      <c r="A20" s="3" t="s">
        <v>28</v>
      </c>
      <c r="B20" s="4" t="s">
        <v>29</v>
      </c>
    </row>
    <row r="21" customFormat="false" ht="30" hidden="false" customHeight="true" outlineLevel="0" collapsed="false">
      <c r="A21" s="3" t="s">
        <v>30</v>
      </c>
      <c r="B21" s="4" t="s">
        <v>31</v>
      </c>
    </row>
    <row r="22" customFormat="false" ht="30" hidden="false" customHeight="true" outlineLevel="0" collapsed="false">
      <c r="A22" s="3" t="s">
        <v>32</v>
      </c>
      <c r="B22" s="4" t="s">
        <v>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9E"/>
    <pageSetUpPr fitToPage="false"/>
  </sheetPr>
  <dimension ref="A1:X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4" min="22" style="0" width="22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A2" s="5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36</v>
      </c>
      <c r="M2" s="6"/>
      <c r="N2" s="6"/>
      <c r="O2" s="6"/>
      <c r="P2" s="6"/>
      <c r="Q2" s="6"/>
      <c r="R2" s="7" t="s">
        <v>37</v>
      </c>
      <c r="S2" s="7"/>
      <c r="T2" s="7"/>
      <c r="U2" s="7"/>
      <c r="V2" s="7"/>
      <c r="W2" s="7"/>
      <c r="X2" s="7"/>
    </row>
    <row r="3" customFormat="false" ht="39.75" hidden="false" customHeight="true" outlineLevel="0" collapsed="false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46</v>
      </c>
      <c r="J3" s="8" t="s">
        <v>47</v>
      </c>
      <c r="K3" s="8" t="s">
        <v>48</v>
      </c>
      <c r="L3" s="9" t="s">
        <v>49</v>
      </c>
      <c r="M3" s="9" t="s">
        <v>50</v>
      </c>
      <c r="N3" s="9" t="s">
        <v>51</v>
      </c>
      <c r="O3" s="9" t="s">
        <v>52</v>
      </c>
      <c r="P3" s="9" t="s">
        <v>53</v>
      </c>
      <c r="Q3" s="9" t="s">
        <v>54</v>
      </c>
      <c r="R3" s="10" t="s">
        <v>55</v>
      </c>
      <c r="S3" s="10" t="s">
        <v>56</v>
      </c>
      <c r="T3" s="10" t="s">
        <v>57</v>
      </c>
      <c r="U3" s="10" t="s">
        <v>58</v>
      </c>
      <c r="V3" s="10" t="s">
        <v>59</v>
      </c>
      <c r="W3" s="10" t="s">
        <v>60</v>
      </c>
    </row>
    <row r="4" customFormat="false" ht="18" hidden="false" customHeight="true" outlineLevel="0" collapsed="false">
      <c r="A4" s="11" t="s">
        <v>61</v>
      </c>
      <c r="B4" s="12" t="s">
        <v>62</v>
      </c>
      <c r="C4" s="13" t="s">
        <v>63</v>
      </c>
      <c r="D4" s="12" t="s">
        <v>64</v>
      </c>
      <c r="E4" s="12" t="s">
        <v>65</v>
      </c>
      <c r="F4" s="14" t="n">
        <v>44525</v>
      </c>
      <c r="G4" s="14" t="n">
        <v>30579</v>
      </c>
      <c r="H4" s="13" t="s">
        <v>66</v>
      </c>
      <c r="I4" s="13" t="s">
        <v>67</v>
      </c>
      <c r="J4" s="13"/>
      <c r="K4" s="15" t="s">
        <v>68</v>
      </c>
      <c r="L4" s="14" t="n">
        <v>15000</v>
      </c>
      <c r="M4" s="14" t="n">
        <v>10500</v>
      </c>
      <c r="N4" s="16" t="n">
        <v>190000</v>
      </c>
      <c r="O4" s="17"/>
      <c r="P4" s="14" t="n">
        <v>4</v>
      </c>
      <c r="Q4" s="18"/>
      <c r="R4" s="19" t="s">
        <v>69</v>
      </c>
      <c r="S4" s="19" t="s">
        <v>70</v>
      </c>
      <c r="T4" s="20" t="s">
        <v>71</v>
      </c>
      <c r="U4" s="20" t="s">
        <v>72</v>
      </c>
      <c r="V4" s="21"/>
      <c r="W4" s="21"/>
      <c r="X4" s="21"/>
    </row>
    <row r="5" customFormat="false" ht="18" hidden="false" customHeight="true" outlineLevel="0" collapsed="false">
      <c r="A5" s="11" t="s">
        <v>73</v>
      </c>
      <c r="B5" s="12" t="s">
        <v>62</v>
      </c>
      <c r="C5" s="13" t="s">
        <v>63</v>
      </c>
      <c r="D5" s="12" t="s">
        <v>74</v>
      </c>
      <c r="E5" s="12" t="s">
        <v>75</v>
      </c>
      <c r="F5" s="14" t="n">
        <v>884726</v>
      </c>
      <c r="G5" s="14" t="n">
        <v>532867</v>
      </c>
      <c r="H5" s="13" t="s">
        <v>76</v>
      </c>
      <c r="I5" s="13" t="s">
        <v>77</v>
      </c>
      <c r="J5" s="13"/>
      <c r="K5" s="15" t="s">
        <v>68</v>
      </c>
      <c r="L5" s="14" t="n">
        <v>10000</v>
      </c>
      <c r="M5" s="14" t="n">
        <v>7000</v>
      </c>
      <c r="N5" s="16" t="n">
        <v>453000</v>
      </c>
      <c r="O5" s="17" t="n">
        <v>64.7</v>
      </c>
      <c r="P5" s="14" t="n">
        <v>2</v>
      </c>
      <c r="Q5" s="18"/>
      <c r="R5" s="19" t="s">
        <v>78</v>
      </c>
      <c r="S5" s="19" t="s">
        <v>79</v>
      </c>
      <c r="T5" s="20"/>
      <c r="U5" s="20" t="s">
        <v>72</v>
      </c>
      <c r="V5" s="21"/>
      <c r="W5" s="21"/>
      <c r="X5" s="21"/>
    </row>
    <row r="6" customFormat="false" ht="18" hidden="false" customHeight="true" outlineLevel="0" collapsed="false">
      <c r="A6" s="11" t="s">
        <v>80</v>
      </c>
      <c r="B6" s="12" t="s">
        <v>62</v>
      </c>
      <c r="C6" s="13" t="s">
        <v>63</v>
      </c>
      <c r="D6" s="12" t="s">
        <v>81</v>
      </c>
      <c r="E6" s="12" t="s">
        <v>82</v>
      </c>
      <c r="F6" s="14" t="n">
        <v>38349</v>
      </c>
      <c r="G6" s="14" t="n">
        <v>29907</v>
      </c>
      <c r="H6" s="13" t="s">
        <v>83</v>
      </c>
      <c r="I6" s="13"/>
      <c r="J6" s="13"/>
      <c r="K6" s="22" t="s">
        <v>84</v>
      </c>
      <c r="L6" s="14" t="n">
        <v>3000</v>
      </c>
      <c r="M6" s="14" t="n">
        <v>2100</v>
      </c>
      <c r="N6" s="16" t="n">
        <v>210000</v>
      </c>
      <c r="O6" s="17" t="n">
        <v>52.5</v>
      </c>
      <c r="P6" s="14" t="n">
        <v>2</v>
      </c>
      <c r="Q6" s="18"/>
      <c r="R6" s="19" t="s">
        <v>85</v>
      </c>
      <c r="S6" s="19"/>
      <c r="T6" s="20"/>
      <c r="U6" s="20" t="s">
        <v>86</v>
      </c>
      <c r="V6" s="21"/>
      <c r="W6" s="21"/>
      <c r="X6" s="21"/>
    </row>
    <row r="7" customFormat="false" ht="18" hidden="false" customHeight="true" outlineLevel="0" collapsed="false">
      <c r="A7" s="11" t="s">
        <v>87</v>
      </c>
      <c r="B7" s="12"/>
      <c r="C7" s="13" t="s">
        <v>63</v>
      </c>
      <c r="D7" s="12" t="s">
        <v>88</v>
      </c>
      <c r="E7" s="12" t="s">
        <v>89</v>
      </c>
      <c r="F7" s="14" t="n">
        <v>336406</v>
      </c>
      <c r="G7" s="14" t="n">
        <v>216722</v>
      </c>
      <c r="H7" s="13" t="s">
        <v>90</v>
      </c>
      <c r="I7" s="13" t="s">
        <v>91</v>
      </c>
      <c r="J7" s="13"/>
      <c r="K7" s="23" t="s">
        <v>92</v>
      </c>
      <c r="L7" s="14" t="n">
        <v>3000</v>
      </c>
      <c r="M7" s="14" t="n">
        <v>2100</v>
      </c>
      <c r="N7" s="16"/>
      <c r="O7" s="17"/>
      <c r="P7" s="14"/>
      <c r="Q7" s="18"/>
      <c r="R7" s="19" t="s">
        <v>93</v>
      </c>
      <c r="S7" s="19" t="s">
        <v>94</v>
      </c>
      <c r="T7" s="20" t="s">
        <v>95</v>
      </c>
      <c r="U7" s="20" t="s">
        <v>72</v>
      </c>
      <c r="V7" s="21"/>
      <c r="W7" s="21"/>
      <c r="X7" s="21"/>
    </row>
    <row r="8" customFormat="false" ht="18" hidden="false" customHeight="true" outlineLevel="0" collapsed="false">
      <c r="A8" s="11" t="s">
        <v>96</v>
      </c>
      <c r="B8" s="12"/>
      <c r="C8" s="13" t="s">
        <v>63</v>
      </c>
      <c r="D8" s="12" t="s">
        <v>97</v>
      </c>
      <c r="E8" s="12" t="s">
        <v>82</v>
      </c>
      <c r="F8" s="14" t="n">
        <v>137930</v>
      </c>
      <c r="G8" s="14" t="n">
        <v>98312</v>
      </c>
      <c r="H8" s="13" t="s">
        <v>98</v>
      </c>
      <c r="I8" s="13" t="s">
        <v>99</v>
      </c>
      <c r="J8" s="13"/>
      <c r="K8" s="23" t="s">
        <v>92</v>
      </c>
      <c r="L8" s="14" t="n">
        <v>3000</v>
      </c>
      <c r="M8" s="14" t="n">
        <v>2100</v>
      </c>
      <c r="N8" s="16"/>
      <c r="O8" s="17"/>
      <c r="P8" s="14"/>
      <c r="Q8" s="18"/>
      <c r="R8" s="19" t="s">
        <v>100</v>
      </c>
      <c r="S8" s="19" t="s">
        <v>101</v>
      </c>
      <c r="T8" s="20"/>
      <c r="U8" s="20" t="s">
        <v>72</v>
      </c>
      <c r="V8" s="21"/>
      <c r="W8" s="21"/>
      <c r="X8" s="21"/>
    </row>
    <row r="9" customFormat="false" ht="18" hidden="false" customHeight="true" outlineLevel="0" collapsed="false">
      <c r="A9" s="11" t="s">
        <v>102</v>
      </c>
      <c r="B9" s="12" t="s">
        <v>103</v>
      </c>
      <c r="C9" s="13" t="s">
        <v>63</v>
      </c>
      <c r="D9" s="12" t="s">
        <v>104</v>
      </c>
      <c r="E9" s="12" t="s">
        <v>105</v>
      </c>
      <c r="F9" s="14" t="n">
        <v>39571</v>
      </c>
      <c r="G9" s="14" t="n">
        <v>30074</v>
      </c>
      <c r="H9" s="13" t="s">
        <v>98</v>
      </c>
      <c r="I9" s="13" t="s">
        <v>106</v>
      </c>
      <c r="J9" s="13"/>
      <c r="K9" s="15" t="s">
        <v>68</v>
      </c>
      <c r="L9" s="14" t="n">
        <v>2000</v>
      </c>
      <c r="M9" s="14" t="n">
        <v>1400</v>
      </c>
      <c r="N9" s="16" t="n">
        <v>230000</v>
      </c>
      <c r="O9" s="17" t="n">
        <v>153.3</v>
      </c>
      <c r="P9" s="14" t="n">
        <v>2</v>
      </c>
      <c r="Q9" s="18"/>
      <c r="R9" s="19" t="s">
        <v>107</v>
      </c>
      <c r="S9" s="19" t="s">
        <v>108</v>
      </c>
      <c r="T9" s="20" t="s">
        <v>109</v>
      </c>
      <c r="U9" s="20" t="s">
        <v>72</v>
      </c>
      <c r="V9" s="21"/>
      <c r="W9" s="21"/>
      <c r="X9" s="21"/>
    </row>
    <row r="10" customFormat="false" ht="18" hidden="false" customHeight="true" outlineLevel="0" collapsed="false">
      <c r="A10" s="11" t="s">
        <v>110</v>
      </c>
      <c r="B10" s="12" t="s">
        <v>111</v>
      </c>
      <c r="C10" s="13" t="s">
        <v>63</v>
      </c>
      <c r="D10" s="12" t="s">
        <v>112</v>
      </c>
      <c r="E10" s="12" t="s">
        <v>113</v>
      </c>
      <c r="F10" s="14" t="n">
        <v>67283</v>
      </c>
      <c r="G10" s="14" t="n">
        <v>44235</v>
      </c>
      <c r="H10" s="13" t="s">
        <v>98</v>
      </c>
      <c r="I10" s="13" t="s">
        <v>114</v>
      </c>
      <c r="J10" s="13"/>
      <c r="K10" s="15" t="s">
        <v>68</v>
      </c>
      <c r="L10" s="14" t="n">
        <v>2000</v>
      </c>
      <c r="M10" s="14" t="n">
        <v>1400</v>
      </c>
      <c r="N10" s="16" t="n">
        <v>60000</v>
      </c>
      <c r="O10" s="17" t="n">
        <v>120</v>
      </c>
      <c r="P10" s="14" t="n">
        <v>1</v>
      </c>
      <c r="Q10" s="18"/>
      <c r="R10" s="19" t="s">
        <v>115</v>
      </c>
      <c r="S10" s="19" t="s">
        <v>116</v>
      </c>
      <c r="T10" s="20" t="s">
        <v>117</v>
      </c>
      <c r="U10" s="20" t="s">
        <v>72</v>
      </c>
      <c r="V10" s="21"/>
      <c r="W10" s="21"/>
      <c r="X10" s="21"/>
    </row>
    <row r="11" customFormat="false" ht="18" hidden="false" customHeight="true" outlineLevel="0" collapsed="false">
      <c r="A11" s="11" t="s">
        <v>118</v>
      </c>
      <c r="B11" s="12" t="s">
        <v>62</v>
      </c>
      <c r="C11" s="13" t="s">
        <v>63</v>
      </c>
      <c r="D11" s="12" t="s">
        <v>119</v>
      </c>
      <c r="E11" s="12" t="s">
        <v>120</v>
      </c>
      <c r="F11" s="14" t="n">
        <v>46521</v>
      </c>
      <c r="G11" s="14" t="n">
        <v>34990</v>
      </c>
      <c r="H11" s="13" t="s">
        <v>32</v>
      </c>
      <c r="I11" s="13" t="s">
        <v>121</v>
      </c>
      <c r="J11" s="13"/>
      <c r="K11" s="15" t="s">
        <v>68</v>
      </c>
      <c r="L11" s="14" t="n">
        <v>2000</v>
      </c>
      <c r="M11" s="14" t="n">
        <v>1400</v>
      </c>
      <c r="N11" s="16" t="n">
        <v>130000</v>
      </c>
      <c r="O11" s="17" t="n">
        <v>86.7</v>
      </c>
      <c r="P11" s="14" t="n">
        <v>1</v>
      </c>
      <c r="Q11" s="18"/>
      <c r="R11" s="19" t="s">
        <v>100</v>
      </c>
      <c r="S11" s="19" t="s">
        <v>101</v>
      </c>
      <c r="T11" s="20"/>
      <c r="U11" s="20" t="s">
        <v>72</v>
      </c>
      <c r="V11" s="21"/>
      <c r="W11" s="21"/>
      <c r="X11" s="21"/>
    </row>
    <row r="12" customFormat="false" ht="18" hidden="false" customHeight="true" outlineLevel="0" collapsed="false">
      <c r="A12" s="11" t="s">
        <v>122</v>
      </c>
      <c r="B12" s="12" t="s">
        <v>62</v>
      </c>
      <c r="C12" s="13" t="s">
        <v>63</v>
      </c>
      <c r="D12" s="12" t="s">
        <v>123</v>
      </c>
      <c r="E12" s="12" t="s">
        <v>82</v>
      </c>
      <c r="F12" s="14" t="n">
        <v>86474</v>
      </c>
      <c r="G12" s="14" t="n">
        <v>64930</v>
      </c>
      <c r="H12" s="13" t="s">
        <v>124</v>
      </c>
      <c r="I12" s="13" t="s">
        <v>125</v>
      </c>
      <c r="J12" s="13"/>
      <c r="K12" s="23" t="s">
        <v>92</v>
      </c>
      <c r="L12" s="14" t="n">
        <v>2000</v>
      </c>
      <c r="M12" s="14" t="n">
        <v>1400</v>
      </c>
      <c r="N12" s="16"/>
      <c r="O12" s="17"/>
      <c r="P12" s="14"/>
      <c r="Q12" s="18"/>
      <c r="R12" s="19" t="s">
        <v>126</v>
      </c>
      <c r="S12" s="19" t="s">
        <v>127</v>
      </c>
      <c r="T12" s="20" t="s">
        <v>128</v>
      </c>
      <c r="U12" s="20" t="s">
        <v>72</v>
      </c>
      <c r="V12" s="21"/>
      <c r="W12" s="21"/>
      <c r="X12" s="21"/>
    </row>
    <row r="13" customFormat="false" ht="18" hidden="false" customHeight="true" outlineLevel="0" collapsed="false">
      <c r="A13" s="11" t="s">
        <v>129</v>
      </c>
      <c r="B13" s="12" t="s">
        <v>130</v>
      </c>
      <c r="C13" s="13" t="s">
        <v>63</v>
      </c>
      <c r="D13" s="12" t="s">
        <v>131</v>
      </c>
      <c r="E13" s="12" t="s">
        <v>75</v>
      </c>
      <c r="F13" s="14" t="n">
        <v>33673</v>
      </c>
      <c r="G13" s="14" t="n">
        <v>23724</v>
      </c>
      <c r="H13" s="13" t="s">
        <v>132</v>
      </c>
      <c r="I13" s="13" t="s">
        <v>133</v>
      </c>
      <c r="J13" s="13"/>
      <c r="K13" s="23" t="s">
        <v>92</v>
      </c>
      <c r="L13" s="14" t="n">
        <v>2000</v>
      </c>
      <c r="M13" s="14" t="n">
        <v>1400</v>
      </c>
      <c r="N13" s="16"/>
      <c r="O13" s="17"/>
      <c r="P13" s="14"/>
      <c r="Q13" s="18"/>
      <c r="R13" s="19" t="s">
        <v>134</v>
      </c>
      <c r="S13" s="19" t="s">
        <v>135</v>
      </c>
      <c r="T13" s="20" t="s">
        <v>136</v>
      </c>
      <c r="U13" s="20" t="s">
        <v>72</v>
      </c>
      <c r="V13" s="21"/>
      <c r="W13" s="21"/>
      <c r="X13" s="21"/>
    </row>
    <row r="14" customFormat="false" ht="18" hidden="false" customHeight="true" outlineLevel="0" collapsed="false">
      <c r="A14" s="11" t="s">
        <v>137</v>
      </c>
      <c r="B14" s="12" t="s">
        <v>62</v>
      </c>
      <c r="C14" s="13" t="s">
        <v>63</v>
      </c>
      <c r="D14" s="12" t="s">
        <v>138</v>
      </c>
      <c r="E14" s="12" t="s">
        <v>105</v>
      </c>
      <c r="F14" s="14" t="n">
        <v>16303</v>
      </c>
      <c r="G14" s="14" t="n">
        <v>12867</v>
      </c>
      <c r="H14" s="13" t="s">
        <v>139</v>
      </c>
      <c r="I14" s="13" t="s">
        <v>140</v>
      </c>
      <c r="J14" s="13"/>
      <c r="K14" s="23" t="s">
        <v>92</v>
      </c>
      <c r="L14" s="14" t="n">
        <v>2000</v>
      </c>
      <c r="M14" s="14" t="n">
        <v>1400</v>
      </c>
      <c r="N14" s="16"/>
      <c r="O14" s="17"/>
      <c r="P14" s="14"/>
      <c r="Q14" s="18"/>
      <c r="R14" s="19" t="s">
        <v>141</v>
      </c>
      <c r="S14" s="19" t="s">
        <v>142</v>
      </c>
      <c r="T14" s="20" t="s">
        <v>143</v>
      </c>
      <c r="U14" s="20" t="s">
        <v>72</v>
      </c>
      <c r="V14" s="21"/>
      <c r="W14" s="21"/>
      <c r="X14" s="21"/>
    </row>
    <row r="15" customFormat="false" ht="18" hidden="false" customHeight="true" outlineLevel="0" collapsed="false">
      <c r="A15" s="11" t="s">
        <v>144</v>
      </c>
      <c r="B15" s="12" t="s">
        <v>62</v>
      </c>
      <c r="C15" s="13" t="s">
        <v>63</v>
      </c>
      <c r="D15" s="12" t="s">
        <v>145</v>
      </c>
      <c r="E15" s="12" t="s">
        <v>120</v>
      </c>
      <c r="F15" s="14" t="n">
        <v>64966</v>
      </c>
      <c r="G15" s="14" t="n">
        <v>41614</v>
      </c>
      <c r="H15" s="13" t="s">
        <v>146</v>
      </c>
      <c r="I15" s="13" t="s">
        <v>147</v>
      </c>
      <c r="J15" s="13"/>
      <c r="K15" s="15" t="s">
        <v>68</v>
      </c>
      <c r="L15" s="14" t="n">
        <v>2000</v>
      </c>
      <c r="M15" s="14" t="n">
        <v>1400</v>
      </c>
      <c r="N15" s="16" t="n">
        <v>48000</v>
      </c>
      <c r="O15" s="17" t="n">
        <v>48</v>
      </c>
      <c r="P15" s="14" t="n">
        <v>1</v>
      </c>
      <c r="Q15" s="18"/>
      <c r="R15" s="19" t="s">
        <v>148</v>
      </c>
      <c r="S15" s="19" t="s">
        <v>149</v>
      </c>
      <c r="T15" s="20" t="s">
        <v>150</v>
      </c>
      <c r="U15" s="20" t="s">
        <v>72</v>
      </c>
      <c r="V15" s="21"/>
      <c r="W15" s="21"/>
      <c r="X15" s="21"/>
    </row>
    <row r="16" customFormat="false" ht="18" hidden="false" customHeight="true" outlineLevel="0" collapsed="false">
      <c r="A16" s="24" t="s">
        <v>151</v>
      </c>
      <c r="B16" s="25" t="s">
        <v>62</v>
      </c>
      <c r="C16" s="26" t="s">
        <v>152</v>
      </c>
      <c r="D16" s="25" t="s">
        <v>153</v>
      </c>
      <c r="E16" s="25" t="s">
        <v>82</v>
      </c>
      <c r="F16" s="27" t="n">
        <v>182544</v>
      </c>
      <c r="G16" s="27" t="n">
        <v>118124</v>
      </c>
      <c r="H16" s="26" t="s">
        <v>154</v>
      </c>
      <c r="I16" s="26"/>
      <c r="J16" s="26"/>
      <c r="K16" s="23" t="s">
        <v>92</v>
      </c>
      <c r="L16" s="27" t="n">
        <v>1500</v>
      </c>
      <c r="M16" s="27" t="n">
        <v>1050</v>
      </c>
      <c r="N16" s="28"/>
      <c r="O16" s="29"/>
      <c r="P16" s="27"/>
      <c r="Q16" s="18"/>
      <c r="R16" s="19" t="s">
        <v>100</v>
      </c>
      <c r="S16" s="19" t="s">
        <v>155</v>
      </c>
      <c r="T16" s="20" t="s">
        <v>156</v>
      </c>
      <c r="U16" s="20" t="s">
        <v>72</v>
      </c>
      <c r="V16" s="21"/>
      <c r="W16" s="21"/>
      <c r="X16" s="21"/>
    </row>
    <row r="17" customFormat="false" ht="18" hidden="false" customHeight="true" outlineLevel="0" collapsed="false">
      <c r="A17" s="24" t="s">
        <v>157</v>
      </c>
      <c r="B17" s="25" t="s">
        <v>130</v>
      </c>
      <c r="C17" s="26" t="s">
        <v>152</v>
      </c>
      <c r="D17" s="25" t="s">
        <v>158</v>
      </c>
      <c r="E17" s="25" t="s">
        <v>105</v>
      </c>
      <c r="F17" s="27" t="n">
        <v>54340</v>
      </c>
      <c r="G17" s="27" t="n">
        <v>37757</v>
      </c>
      <c r="H17" s="26" t="s">
        <v>159</v>
      </c>
      <c r="I17" s="26"/>
      <c r="J17" s="26"/>
      <c r="K17" s="15" t="s">
        <v>68</v>
      </c>
      <c r="L17" s="27" t="n">
        <v>1500</v>
      </c>
      <c r="M17" s="27" t="n">
        <v>1050</v>
      </c>
      <c r="N17" s="28" t="n">
        <v>300000</v>
      </c>
      <c r="O17" s="29" t="n">
        <v>60</v>
      </c>
      <c r="P17" s="27" t="n">
        <v>1</v>
      </c>
      <c r="Q17" s="18"/>
      <c r="R17" s="19" t="s">
        <v>160</v>
      </c>
      <c r="S17" s="19" t="s">
        <v>161</v>
      </c>
      <c r="T17" s="20" t="s">
        <v>162</v>
      </c>
      <c r="U17" s="20" t="s">
        <v>72</v>
      </c>
      <c r="V17" s="21"/>
      <c r="W17" s="21"/>
      <c r="X17" s="21"/>
    </row>
    <row r="18" customFormat="false" ht="18" hidden="false" customHeight="true" outlineLevel="0" collapsed="false">
      <c r="A18" s="24" t="s">
        <v>163</v>
      </c>
      <c r="B18" s="25" t="s">
        <v>164</v>
      </c>
      <c r="C18" s="26" t="s">
        <v>152</v>
      </c>
      <c r="D18" s="25" t="s">
        <v>165</v>
      </c>
      <c r="E18" s="25" t="s">
        <v>120</v>
      </c>
      <c r="F18" s="27" t="n">
        <v>95992</v>
      </c>
      <c r="G18" s="27" t="n">
        <v>66441</v>
      </c>
      <c r="H18" s="26" t="s">
        <v>166</v>
      </c>
      <c r="I18" s="26"/>
      <c r="J18" s="26"/>
      <c r="K18" s="23" t="s">
        <v>92</v>
      </c>
      <c r="L18" s="27" t="n">
        <v>1500</v>
      </c>
      <c r="M18" s="27" t="n">
        <v>1050</v>
      </c>
      <c r="N18" s="28"/>
      <c r="O18" s="29"/>
      <c r="P18" s="27"/>
      <c r="Q18" s="18"/>
      <c r="R18" s="19" t="s">
        <v>167</v>
      </c>
      <c r="S18" s="19" t="s">
        <v>168</v>
      </c>
      <c r="T18" s="20"/>
      <c r="U18" s="20" t="s">
        <v>72</v>
      </c>
      <c r="V18" s="21"/>
      <c r="W18" s="21"/>
      <c r="X18" s="21"/>
    </row>
    <row r="19" customFormat="false" ht="18" hidden="false" customHeight="true" outlineLevel="0" collapsed="false">
      <c r="A19" s="24" t="s">
        <v>169</v>
      </c>
      <c r="B19" s="25"/>
      <c r="C19" s="26" t="s">
        <v>152</v>
      </c>
      <c r="D19" s="25" t="s">
        <v>170</v>
      </c>
      <c r="E19" s="25" t="s">
        <v>120</v>
      </c>
      <c r="F19" s="27" t="n">
        <v>44137</v>
      </c>
      <c r="G19" s="27" t="n">
        <v>30681</v>
      </c>
      <c r="H19" s="26" t="s">
        <v>171</v>
      </c>
      <c r="I19" s="26" t="s">
        <v>172</v>
      </c>
      <c r="J19" s="26"/>
      <c r="K19" s="15" t="s">
        <v>68</v>
      </c>
      <c r="L19" s="27" t="n">
        <v>1500</v>
      </c>
      <c r="M19" s="27" t="n">
        <v>1050</v>
      </c>
      <c r="N19" s="28" t="n">
        <v>255000</v>
      </c>
      <c r="O19" s="29" t="n">
        <v>85</v>
      </c>
      <c r="P19" s="27" t="n">
        <v>1</v>
      </c>
      <c r="Q19" s="18"/>
      <c r="R19" s="19" t="s">
        <v>173</v>
      </c>
      <c r="S19" s="19" t="s">
        <v>174</v>
      </c>
      <c r="T19" s="20" t="s">
        <v>175</v>
      </c>
      <c r="U19" s="20" t="s">
        <v>72</v>
      </c>
      <c r="V19" s="21"/>
      <c r="W19" s="21"/>
      <c r="X19" s="21"/>
    </row>
    <row r="20" customFormat="false" ht="18" hidden="false" customHeight="true" outlineLevel="0" collapsed="false">
      <c r="A20" s="24" t="s">
        <v>176</v>
      </c>
      <c r="B20" s="25" t="s">
        <v>62</v>
      </c>
      <c r="C20" s="26" t="s">
        <v>152</v>
      </c>
      <c r="D20" s="25" t="s">
        <v>177</v>
      </c>
      <c r="E20" s="25" t="s">
        <v>75</v>
      </c>
      <c r="F20" s="27" t="n">
        <v>160527</v>
      </c>
      <c r="G20" s="27" t="n">
        <v>110306</v>
      </c>
      <c r="H20" s="26" t="s">
        <v>178</v>
      </c>
      <c r="I20" s="26" t="s">
        <v>179</v>
      </c>
      <c r="J20" s="26"/>
      <c r="K20" s="23" t="s">
        <v>92</v>
      </c>
      <c r="L20" s="27" t="n">
        <v>1500</v>
      </c>
      <c r="M20" s="27" t="n">
        <v>1050</v>
      </c>
      <c r="N20" s="28"/>
      <c r="O20" s="29"/>
      <c r="P20" s="27"/>
      <c r="Q20" s="18"/>
      <c r="R20" s="19" t="s">
        <v>180</v>
      </c>
      <c r="S20" s="19" t="s">
        <v>101</v>
      </c>
      <c r="T20" s="20"/>
      <c r="U20" s="20" t="s">
        <v>72</v>
      </c>
      <c r="V20" s="21"/>
      <c r="W20" s="21"/>
      <c r="X20" s="21"/>
    </row>
    <row r="21" customFormat="false" ht="18" hidden="false" customHeight="true" outlineLevel="0" collapsed="false">
      <c r="A21" s="24" t="s">
        <v>181</v>
      </c>
      <c r="B21" s="25" t="s">
        <v>130</v>
      </c>
      <c r="C21" s="26" t="s">
        <v>152</v>
      </c>
      <c r="D21" s="25" t="s">
        <v>182</v>
      </c>
      <c r="E21" s="25" t="s">
        <v>120</v>
      </c>
      <c r="F21" s="27" t="n">
        <v>13854</v>
      </c>
      <c r="G21" s="27" t="n">
        <v>10222</v>
      </c>
      <c r="H21" s="26" t="s">
        <v>28</v>
      </c>
      <c r="I21" s="26" t="s">
        <v>183</v>
      </c>
      <c r="J21" s="26"/>
      <c r="K21" s="23" t="s">
        <v>92</v>
      </c>
      <c r="L21" s="27" t="n">
        <v>1000</v>
      </c>
      <c r="M21" s="27" t="n">
        <v>700</v>
      </c>
      <c r="N21" s="28"/>
      <c r="O21" s="29"/>
      <c r="P21" s="27"/>
      <c r="Q21" s="18"/>
      <c r="R21" s="19" t="s">
        <v>160</v>
      </c>
      <c r="S21" s="19" t="s">
        <v>184</v>
      </c>
      <c r="T21" s="20"/>
      <c r="U21" s="20" t="s">
        <v>72</v>
      </c>
      <c r="V21" s="21"/>
      <c r="W21" s="21"/>
      <c r="X21" s="21"/>
    </row>
    <row r="22" customFormat="false" ht="18" hidden="false" customHeight="true" outlineLevel="0" collapsed="false">
      <c r="A22" s="24" t="s">
        <v>185</v>
      </c>
      <c r="B22" s="25"/>
      <c r="C22" s="26" t="s">
        <v>152</v>
      </c>
      <c r="D22" s="25" t="s">
        <v>186</v>
      </c>
      <c r="E22" s="25" t="s">
        <v>89</v>
      </c>
      <c r="F22" s="27" t="n">
        <v>130000</v>
      </c>
      <c r="G22" s="27" t="n">
        <v>89140</v>
      </c>
      <c r="H22" s="26" t="s">
        <v>187</v>
      </c>
      <c r="I22" s="26"/>
      <c r="J22" s="26"/>
      <c r="K22" s="23" t="s">
        <v>92</v>
      </c>
      <c r="L22" s="27" t="n">
        <v>1000</v>
      </c>
      <c r="M22" s="27" t="n">
        <v>700</v>
      </c>
      <c r="N22" s="28"/>
      <c r="O22" s="29"/>
      <c r="P22" s="27"/>
      <c r="Q22" s="18"/>
      <c r="R22" s="19" t="s">
        <v>188</v>
      </c>
      <c r="S22" s="19" t="s">
        <v>184</v>
      </c>
      <c r="T22" s="20"/>
      <c r="U22" s="20" t="s">
        <v>72</v>
      </c>
      <c r="V22" s="21"/>
      <c r="W22" s="21"/>
      <c r="X22" s="21"/>
    </row>
    <row r="23" customFormat="false" ht="18" hidden="false" customHeight="true" outlineLevel="0" collapsed="false">
      <c r="A23" s="24" t="s">
        <v>189</v>
      </c>
      <c r="B23" s="25" t="s">
        <v>62</v>
      </c>
      <c r="C23" s="26" t="s">
        <v>152</v>
      </c>
      <c r="D23" s="25" t="s">
        <v>190</v>
      </c>
      <c r="E23" s="25" t="s">
        <v>120</v>
      </c>
      <c r="F23" s="27" t="n">
        <v>12186</v>
      </c>
      <c r="G23" s="27" t="n">
        <v>7432</v>
      </c>
      <c r="H23" s="26" t="s">
        <v>191</v>
      </c>
      <c r="I23" s="26" t="s">
        <v>192</v>
      </c>
      <c r="J23" s="26"/>
      <c r="K23" s="23" t="s">
        <v>92</v>
      </c>
      <c r="L23" s="27" t="n">
        <v>1000</v>
      </c>
      <c r="M23" s="27" t="n">
        <v>700</v>
      </c>
      <c r="N23" s="28"/>
      <c r="O23" s="29"/>
      <c r="P23" s="27"/>
      <c r="Q23" s="18"/>
      <c r="R23" s="19" t="s">
        <v>85</v>
      </c>
      <c r="S23" s="19" t="s">
        <v>184</v>
      </c>
      <c r="T23" s="20"/>
      <c r="U23" s="20" t="s">
        <v>72</v>
      </c>
      <c r="V23" s="21"/>
      <c r="W23" s="21"/>
      <c r="X23" s="21"/>
    </row>
    <row r="24" customFormat="false" ht="18" hidden="false" customHeight="true" outlineLevel="0" collapsed="false">
      <c r="A24" s="24" t="s">
        <v>193</v>
      </c>
      <c r="B24" s="25" t="s">
        <v>164</v>
      </c>
      <c r="C24" s="26" t="s">
        <v>152</v>
      </c>
      <c r="D24" s="25" t="s">
        <v>194</v>
      </c>
      <c r="E24" s="25" t="s">
        <v>195</v>
      </c>
      <c r="F24" s="27" t="n">
        <v>219001</v>
      </c>
      <c r="G24" s="27" t="n">
        <v>151954</v>
      </c>
      <c r="H24" s="26" t="s">
        <v>32</v>
      </c>
      <c r="I24" s="26" t="s">
        <v>196</v>
      </c>
      <c r="J24" s="26"/>
      <c r="K24" s="15" t="s">
        <v>68</v>
      </c>
      <c r="L24" s="27" t="n">
        <v>1000</v>
      </c>
      <c r="M24" s="27" t="n">
        <v>700</v>
      </c>
      <c r="N24" s="28" t="n">
        <v>60000</v>
      </c>
      <c r="O24" s="29" t="n">
        <v>60</v>
      </c>
      <c r="P24" s="27" t="n">
        <v>1</v>
      </c>
      <c r="Q24" s="18"/>
      <c r="R24" s="19" t="s">
        <v>100</v>
      </c>
      <c r="S24" s="19" t="s">
        <v>101</v>
      </c>
      <c r="T24" s="20"/>
      <c r="U24" s="20" t="s">
        <v>72</v>
      </c>
      <c r="V24" s="21"/>
      <c r="W24" s="21"/>
      <c r="X24" s="21"/>
    </row>
    <row r="25" customFormat="false" ht="18" hidden="false" customHeight="true" outlineLevel="0" collapsed="false">
      <c r="A25" s="24" t="s">
        <v>197</v>
      </c>
      <c r="B25" s="25" t="s">
        <v>111</v>
      </c>
      <c r="C25" s="26" t="s">
        <v>152</v>
      </c>
      <c r="D25" s="25" t="s">
        <v>198</v>
      </c>
      <c r="E25" s="25" t="s">
        <v>120</v>
      </c>
      <c r="F25" s="27" t="n">
        <v>113236</v>
      </c>
      <c r="G25" s="27" t="n">
        <v>78466</v>
      </c>
      <c r="H25" s="26" t="s">
        <v>98</v>
      </c>
      <c r="I25" s="26" t="s">
        <v>199</v>
      </c>
      <c r="J25" s="26"/>
      <c r="K25" s="15" t="s">
        <v>68</v>
      </c>
      <c r="L25" s="27" t="n">
        <v>1000</v>
      </c>
      <c r="M25" s="27" t="n">
        <v>700</v>
      </c>
      <c r="N25" s="28" t="n">
        <v>80000</v>
      </c>
      <c r="O25" s="29" t="n">
        <v>160</v>
      </c>
      <c r="P25" s="27" t="n">
        <v>1</v>
      </c>
      <c r="Q25" s="18"/>
      <c r="R25" s="19" t="s">
        <v>115</v>
      </c>
      <c r="S25" s="19" t="s">
        <v>200</v>
      </c>
      <c r="T25" s="20" t="s">
        <v>201</v>
      </c>
      <c r="U25" s="20" t="s">
        <v>72</v>
      </c>
      <c r="V25" s="21"/>
      <c r="W25" s="21"/>
      <c r="X25" s="21"/>
    </row>
    <row r="26" customFormat="false" ht="18" hidden="false" customHeight="true" outlineLevel="0" collapsed="false">
      <c r="A26" s="24" t="s">
        <v>202</v>
      </c>
      <c r="B26" s="25" t="s">
        <v>130</v>
      </c>
      <c r="C26" s="26" t="s">
        <v>152</v>
      </c>
      <c r="D26" s="25" t="s">
        <v>203</v>
      </c>
      <c r="E26" s="25" t="s">
        <v>75</v>
      </c>
      <c r="F26" s="27" t="n">
        <v>6320</v>
      </c>
      <c r="G26" s="27" t="n">
        <v>4612</v>
      </c>
      <c r="H26" s="26" t="s">
        <v>204</v>
      </c>
      <c r="I26" s="26" t="s">
        <v>205</v>
      </c>
      <c r="J26" s="26"/>
      <c r="K26" s="23" t="s">
        <v>92</v>
      </c>
      <c r="L26" s="27" t="n">
        <v>1000</v>
      </c>
      <c r="M26" s="27" t="n">
        <v>700</v>
      </c>
      <c r="N26" s="28"/>
      <c r="O26" s="29"/>
      <c r="P26" s="27"/>
      <c r="Q26" s="18"/>
      <c r="R26" s="19" t="s">
        <v>160</v>
      </c>
      <c r="S26" s="19" t="s">
        <v>161</v>
      </c>
      <c r="T26" s="20" t="s">
        <v>206</v>
      </c>
      <c r="U26" s="20" t="s">
        <v>72</v>
      </c>
      <c r="V26" s="21"/>
      <c r="W26" s="21"/>
      <c r="X26" s="21"/>
    </row>
    <row r="27" customFormat="false" ht="18" hidden="false" customHeight="true" outlineLevel="0" collapsed="false">
      <c r="A27" s="24" t="s">
        <v>207</v>
      </c>
      <c r="B27" s="25" t="s">
        <v>208</v>
      </c>
      <c r="C27" s="26" t="s">
        <v>152</v>
      </c>
      <c r="D27" s="25" t="s">
        <v>209</v>
      </c>
      <c r="E27" s="25" t="s">
        <v>82</v>
      </c>
      <c r="F27" s="27" t="n">
        <v>21287</v>
      </c>
      <c r="G27" s="27" t="n">
        <v>15293</v>
      </c>
      <c r="H27" s="26" t="s">
        <v>124</v>
      </c>
      <c r="I27" s="26" t="s">
        <v>210</v>
      </c>
      <c r="J27" s="26"/>
      <c r="K27" s="23" t="s">
        <v>92</v>
      </c>
      <c r="L27" s="27" t="n">
        <v>1000</v>
      </c>
      <c r="M27" s="27" t="n">
        <v>700</v>
      </c>
      <c r="N27" s="28"/>
      <c r="O27" s="29"/>
      <c r="P27" s="27"/>
      <c r="Q27" s="18"/>
      <c r="R27" s="19" t="s">
        <v>188</v>
      </c>
      <c r="S27" s="19" t="s">
        <v>184</v>
      </c>
      <c r="T27" s="20"/>
      <c r="U27" s="20" t="s">
        <v>72</v>
      </c>
      <c r="V27" s="21"/>
      <c r="W27" s="21"/>
      <c r="X27" s="21"/>
    </row>
    <row r="28" customFormat="false" ht="18" hidden="false" customHeight="true" outlineLevel="0" collapsed="false">
      <c r="A28" s="24" t="s">
        <v>211</v>
      </c>
      <c r="B28" s="25" t="s">
        <v>164</v>
      </c>
      <c r="C28" s="26" t="s">
        <v>152</v>
      </c>
      <c r="D28" s="25" t="s">
        <v>212</v>
      </c>
      <c r="E28" s="25" t="s">
        <v>120</v>
      </c>
      <c r="F28" s="27" t="n">
        <v>314355</v>
      </c>
      <c r="G28" s="27" t="n">
        <v>204221</v>
      </c>
      <c r="H28" s="26" t="s">
        <v>213</v>
      </c>
      <c r="I28" s="26" t="s">
        <v>214</v>
      </c>
      <c r="J28" s="26"/>
      <c r="K28" s="23" t="s">
        <v>92</v>
      </c>
      <c r="L28" s="27" t="n">
        <v>1000</v>
      </c>
      <c r="M28" s="27" t="n">
        <v>700</v>
      </c>
      <c r="N28" s="28"/>
      <c r="O28" s="29"/>
      <c r="P28" s="27"/>
      <c r="Q28" s="18"/>
      <c r="R28" s="19" t="s">
        <v>215</v>
      </c>
      <c r="S28" s="19" t="s">
        <v>216</v>
      </c>
      <c r="T28" s="20"/>
      <c r="U28" s="20" t="s">
        <v>72</v>
      </c>
      <c r="V28" s="21"/>
      <c r="W28" s="21"/>
      <c r="X28" s="21"/>
    </row>
    <row r="29" customFormat="false" ht="18" hidden="false" customHeight="true" outlineLevel="0" collapsed="false">
      <c r="A29" s="24" t="s">
        <v>217</v>
      </c>
      <c r="B29" s="25"/>
      <c r="C29" s="26" t="s">
        <v>152</v>
      </c>
      <c r="D29" s="25" t="s">
        <v>218</v>
      </c>
      <c r="E29" s="25" t="s">
        <v>120</v>
      </c>
      <c r="F29" s="27" t="n">
        <v>151683</v>
      </c>
      <c r="G29" s="27" t="n">
        <v>98882</v>
      </c>
      <c r="H29" s="26" t="s">
        <v>178</v>
      </c>
      <c r="I29" s="26" t="s">
        <v>219</v>
      </c>
      <c r="J29" s="26"/>
      <c r="K29" s="22" t="s">
        <v>84</v>
      </c>
      <c r="L29" s="27" t="n">
        <v>1000</v>
      </c>
      <c r="M29" s="27" t="n">
        <v>700</v>
      </c>
      <c r="N29" s="28" t="n">
        <v>120000</v>
      </c>
      <c r="O29" s="29" t="n">
        <v>120</v>
      </c>
      <c r="P29" s="27" t="n">
        <v>1</v>
      </c>
      <c r="Q29" s="18"/>
      <c r="R29" s="19" t="s">
        <v>100</v>
      </c>
      <c r="S29" s="19"/>
      <c r="T29" s="20"/>
      <c r="U29" s="20" t="s">
        <v>86</v>
      </c>
      <c r="V29" s="21"/>
      <c r="W29" s="21"/>
      <c r="X29" s="21"/>
    </row>
    <row r="30" customFormat="false" ht="18" hidden="false" customHeight="true" outlineLevel="0" collapsed="false">
      <c r="A30" s="24" t="s">
        <v>220</v>
      </c>
      <c r="B30" s="25" t="s">
        <v>130</v>
      </c>
      <c r="C30" s="26" t="s">
        <v>152</v>
      </c>
      <c r="D30" s="25" t="s">
        <v>221</v>
      </c>
      <c r="E30" s="25" t="s">
        <v>89</v>
      </c>
      <c r="F30" s="27" t="n">
        <v>22133</v>
      </c>
      <c r="G30" s="27" t="n">
        <v>15785</v>
      </c>
      <c r="H30" s="26" t="s">
        <v>222</v>
      </c>
      <c r="I30" s="26" t="s">
        <v>223</v>
      </c>
      <c r="J30" s="26"/>
      <c r="K30" s="23" t="s">
        <v>92</v>
      </c>
      <c r="L30" s="27" t="n">
        <v>1000</v>
      </c>
      <c r="M30" s="27" t="n">
        <v>700</v>
      </c>
      <c r="N30" s="28"/>
      <c r="O30" s="29"/>
      <c r="P30" s="27"/>
      <c r="Q30" s="18"/>
      <c r="R30" s="19" t="s">
        <v>224</v>
      </c>
      <c r="S30" s="19"/>
      <c r="T30" s="20" t="s">
        <v>225</v>
      </c>
      <c r="U30" s="20" t="s">
        <v>86</v>
      </c>
      <c r="V30" s="21"/>
      <c r="W30" s="21"/>
      <c r="X30" s="21"/>
    </row>
    <row r="31" customFormat="false" ht="18" hidden="false" customHeight="true" outlineLevel="0" collapsed="false">
      <c r="A31" s="24" t="s">
        <v>226</v>
      </c>
      <c r="B31" s="25" t="s">
        <v>130</v>
      </c>
      <c r="C31" s="26" t="s">
        <v>152</v>
      </c>
      <c r="D31" s="25" t="s">
        <v>227</v>
      </c>
      <c r="E31" s="25" t="s">
        <v>120</v>
      </c>
      <c r="F31" s="27" t="n">
        <v>29703</v>
      </c>
      <c r="G31" s="27" t="n">
        <v>22635</v>
      </c>
      <c r="H31" s="26" t="s">
        <v>213</v>
      </c>
      <c r="I31" s="26" t="s">
        <v>228</v>
      </c>
      <c r="J31" s="26"/>
      <c r="K31" s="23" t="s">
        <v>92</v>
      </c>
      <c r="L31" s="27" t="n">
        <v>1000</v>
      </c>
      <c r="M31" s="27" t="n">
        <v>700</v>
      </c>
      <c r="N31" s="28"/>
      <c r="O31" s="29"/>
      <c r="P31" s="27"/>
      <c r="Q31" s="18"/>
      <c r="R31" s="19" t="s">
        <v>224</v>
      </c>
      <c r="S31" s="19" t="s">
        <v>184</v>
      </c>
      <c r="T31" s="20"/>
      <c r="U31" s="20" t="s">
        <v>72</v>
      </c>
      <c r="V31" s="21"/>
      <c r="W31" s="21"/>
      <c r="X31" s="21"/>
    </row>
    <row r="32" customFormat="false" ht="18" hidden="false" customHeight="true" outlineLevel="0" collapsed="false">
      <c r="A32" s="24" t="s">
        <v>229</v>
      </c>
      <c r="B32" s="25" t="s">
        <v>62</v>
      </c>
      <c r="C32" s="26" t="s">
        <v>152</v>
      </c>
      <c r="D32" s="25" t="s">
        <v>230</v>
      </c>
      <c r="E32" s="25" t="s">
        <v>75</v>
      </c>
      <c r="F32" s="27" t="n">
        <v>203032</v>
      </c>
      <c r="G32" s="27" t="n">
        <v>128744</v>
      </c>
      <c r="H32" s="26" t="s">
        <v>146</v>
      </c>
      <c r="I32" s="26" t="s">
        <v>231</v>
      </c>
      <c r="J32" s="26"/>
      <c r="K32" s="15" t="s">
        <v>68</v>
      </c>
      <c r="L32" s="27" t="n">
        <v>1000</v>
      </c>
      <c r="M32" s="27" t="n">
        <v>700</v>
      </c>
      <c r="N32" s="28" t="n">
        <v>18000</v>
      </c>
      <c r="O32" s="29" t="n">
        <v>25.7</v>
      </c>
      <c r="P32" s="27" t="n">
        <v>8</v>
      </c>
      <c r="Q32" s="18"/>
      <c r="R32" s="19" t="s">
        <v>126</v>
      </c>
      <c r="S32" s="19" t="s">
        <v>101</v>
      </c>
      <c r="T32" s="20"/>
      <c r="U32" s="20" t="s">
        <v>72</v>
      </c>
      <c r="V32" s="21"/>
      <c r="W32" s="21"/>
      <c r="X32" s="21"/>
    </row>
    <row r="33" customFormat="false" ht="18" hidden="false" customHeight="true" outlineLevel="0" collapsed="false">
      <c r="A33" s="24" t="s">
        <v>232</v>
      </c>
      <c r="B33" s="25" t="s">
        <v>62</v>
      </c>
      <c r="C33" s="26" t="s">
        <v>152</v>
      </c>
      <c r="D33" s="25" t="s">
        <v>233</v>
      </c>
      <c r="E33" s="25" t="s">
        <v>82</v>
      </c>
      <c r="F33" s="27" t="n">
        <v>91947</v>
      </c>
      <c r="G33" s="27" t="n">
        <v>63870</v>
      </c>
      <c r="H33" s="26" t="s">
        <v>234</v>
      </c>
      <c r="I33" s="26" t="s">
        <v>235</v>
      </c>
      <c r="J33" s="26"/>
      <c r="K33" s="23" t="s">
        <v>92</v>
      </c>
      <c r="L33" s="27" t="n">
        <v>1000</v>
      </c>
      <c r="M33" s="27" t="n">
        <v>700</v>
      </c>
      <c r="N33" s="28"/>
      <c r="O33" s="29"/>
      <c r="P33" s="27"/>
      <c r="Q33" s="18"/>
      <c r="R33" s="19" t="s">
        <v>148</v>
      </c>
      <c r="S33" s="19" t="s">
        <v>149</v>
      </c>
      <c r="T33" s="20" t="s">
        <v>236</v>
      </c>
      <c r="U33" s="20" t="s">
        <v>72</v>
      </c>
      <c r="V33" s="21"/>
      <c r="W33" s="21"/>
      <c r="X33" s="21"/>
    </row>
    <row r="34" customFormat="false" ht="18" hidden="false" customHeight="true" outlineLevel="0" collapsed="false">
      <c r="A34" s="30" t="s">
        <v>237</v>
      </c>
      <c r="B34" s="31" t="s">
        <v>208</v>
      </c>
      <c r="C34" s="32" t="s">
        <v>238</v>
      </c>
      <c r="D34" s="31" t="s">
        <v>239</v>
      </c>
      <c r="E34" s="31" t="s">
        <v>240</v>
      </c>
      <c r="F34" s="33" t="n">
        <v>18215</v>
      </c>
      <c r="G34" s="33" t="n">
        <v>13150</v>
      </c>
      <c r="H34" s="32" t="s">
        <v>28</v>
      </c>
      <c r="I34" s="32"/>
      <c r="J34" s="32"/>
      <c r="K34" s="23" t="s">
        <v>92</v>
      </c>
      <c r="L34" s="33" t="n">
        <v>500</v>
      </c>
      <c r="M34" s="33" t="n">
        <v>350</v>
      </c>
      <c r="N34" s="34"/>
      <c r="O34" s="35"/>
      <c r="P34" s="33"/>
      <c r="Q34" s="18"/>
      <c r="R34" s="19" t="s">
        <v>188</v>
      </c>
      <c r="S34" s="19" t="s">
        <v>184</v>
      </c>
      <c r="T34" s="20"/>
      <c r="U34" s="20" t="s">
        <v>72</v>
      </c>
      <c r="V34" s="21"/>
      <c r="W34" s="21"/>
      <c r="X34" s="21"/>
    </row>
    <row r="35" customFormat="false" ht="18" hidden="false" customHeight="true" outlineLevel="0" collapsed="false">
      <c r="A35" s="30" t="s">
        <v>241</v>
      </c>
      <c r="B35" s="31"/>
      <c r="C35" s="32" t="s">
        <v>238</v>
      </c>
      <c r="D35" s="31" t="s">
        <v>242</v>
      </c>
      <c r="E35" s="31" t="s">
        <v>105</v>
      </c>
      <c r="F35" s="33" t="n">
        <v>15028</v>
      </c>
      <c r="G35" s="33" t="n">
        <v>11130</v>
      </c>
      <c r="H35" s="32" t="s">
        <v>213</v>
      </c>
      <c r="I35" s="32" t="s">
        <v>179</v>
      </c>
      <c r="J35" s="32"/>
      <c r="K35" s="22" t="s">
        <v>84</v>
      </c>
      <c r="L35" s="33" t="n">
        <v>500</v>
      </c>
      <c r="M35" s="33" t="n">
        <v>350</v>
      </c>
      <c r="N35" s="34" t="n">
        <v>40000</v>
      </c>
      <c r="O35" s="35" t="n">
        <v>80</v>
      </c>
      <c r="P35" s="33" t="n">
        <v>1</v>
      </c>
      <c r="Q35" s="18"/>
      <c r="R35" s="19" t="s">
        <v>173</v>
      </c>
      <c r="S35" s="19"/>
      <c r="T35" s="20"/>
      <c r="U35" s="20" t="s">
        <v>86</v>
      </c>
      <c r="V35" s="21"/>
      <c r="W35" s="21"/>
      <c r="X35" s="21"/>
    </row>
    <row r="36" customFormat="false" ht="18" hidden="false" customHeight="true" outlineLevel="0" collapsed="false">
      <c r="A36" s="30" t="s">
        <v>243</v>
      </c>
      <c r="B36" s="31" t="s">
        <v>103</v>
      </c>
      <c r="C36" s="32" t="s">
        <v>238</v>
      </c>
      <c r="D36" s="31" t="s">
        <v>244</v>
      </c>
      <c r="E36" s="31" t="s">
        <v>105</v>
      </c>
      <c r="F36" s="33" t="n">
        <v>48947</v>
      </c>
      <c r="G36" s="33" t="n">
        <v>32682</v>
      </c>
      <c r="H36" s="32" t="s">
        <v>26</v>
      </c>
      <c r="I36" s="32" t="s">
        <v>106</v>
      </c>
      <c r="J36" s="32"/>
      <c r="K36" s="23" t="s">
        <v>92</v>
      </c>
      <c r="L36" s="33" t="n">
        <v>500</v>
      </c>
      <c r="M36" s="33" t="n">
        <v>350</v>
      </c>
      <c r="N36" s="34"/>
      <c r="O36" s="35"/>
      <c r="P36" s="33"/>
      <c r="Q36" s="18"/>
      <c r="R36" s="19" t="s">
        <v>107</v>
      </c>
      <c r="S36" s="19" t="s">
        <v>245</v>
      </c>
      <c r="T36" s="20"/>
      <c r="U36" s="20" t="s">
        <v>72</v>
      </c>
      <c r="V36" s="21"/>
      <c r="W36" s="21"/>
      <c r="X36" s="21"/>
    </row>
    <row r="37" customFormat="false" ht="18" hidden="false" customHeight="true" outlineLevel="0" collapsed="false">
      <c r="A37" s="30" t="s">
        <v>246</v>
      </c>
      <c r="B37" s="31" t="s">
        <v>130</v>
      </c>
      <c r="C37" s="32" t="s">
        <v>238</v>
      </c>
      <c r="D37" s="31" t="s">
        <v>247</v>
      </c>
      <c r="E37" s="31" t="s">
        <v>105</v>
      </c>
      <c r="F37" s="33" t="n">
        <v>5890</v>
      </c>
      <c r="G37" s="33" t="n">
        <v>4421</v>
      </c>
      <c r="H37" s="32" t="s">
        <v>28</v>
      </c>
      <c r="I37" s="32" t="s">
        <v>106</v>
      </c>
      <c r="J37" s="32"/>
      <c r="K37" s="23" t="s">
        <v>92</v>
      </c>
      <c r="L37" s="33" t="n">
        <v>500</v>
      </c>
      <c r="M37" s="33" t="n">
        <v>350</v>
      </c>
      <c r="N37" s="34"/>
      <c r="O37" s="35"/>
      <c r="P37" s="33"/>
      <c r="Q37" s="18"/>
      <c r="R37" s="19" t="s">
        <v>224</v>
      </c>
      <c r="S37" s="19" t="s">
        <v>161</v>
      </c>
      <c r="T37" s="20" t="s">
        <v>248</v>
      </c>
      <c r="U37" s="20" t="s">
        <v>72</v>
      </c>
      <c r="V37" s="21"/>
      <c r="W37" s="21"/>
      <c r="X37" s="21"/>
    </row>
    <row r="38" customFormat="false" ht="18" hidden="false" customHeight="true" outlineLevel="0" collapsed="false">
      <c r="A38" s="30" t="s">
        <v>249</v>
      </c>
      <c r="B38" s="31" t="s">
        <v>62</v>
      </c>
      <c r="C38" s="32" t="s">
        <v>238</v>
      </c>
      <c r="D38" s="31" t="s">
        <v>250</v>
      </c>
      <c r="E38" s="31" t="s">
        <v>65</v>
      </c>
      <c r="F38" s="33" t="n">
        <v>46681</v>
      </c>
      <c r="G38" s="33" t="n">
        <v>32271</v>
      </c>
      <c r="H38" s="32" t="s">
        <v>251</v>
      </c>
      <c r="I38" s="32" t="s">
        <v>252</v>
      </c>
      <c r="J38" s="32"/>
      <c r="K38" s="23" t="s">
        <v>92</v>
      </c>
      <c r="L38" s="33" t="n">
        <v>500</v>
      </c>
      <c r="M38" s="33" t="n">
        <v>350</v>
      </c>
      <c r="N38" s="34"/>
      <c r="O38" s="35"/>
      <c r="P38" s="33"/>
      <c r="Q38" s="18"/>
      <c r="R38" s="19" t="s">
        <v>148</v>
      </c>
      <c r="S38" s="19" t="s">
        <v>101</v>
      </c>
      <c r="T38" s="20"/>
      <c r="U38" s="20" t="s">
        <v>72</v>
      </c>
      <c r="V38" s="21"/>
      <c r="W38" s="21"/>
      <c r="X38" s="21"/>
    </row>
    <row r="39" customFormat="false" ht="18" hidden="false" customHeight="true" outlineLevel="0" collapsed="false">
      <c r="A39" s="30" t="s">
        <v>253</v>
      </c>
      <c r="B39" s="31" t="s">
        <v>164</v>
      </c>
      <c r="C39" s="32" t="s">
        <v>238</v>
      </c>
      <c r="D39" s="31" t="s">
        <v>254</v>
      </c>
      <c r="E39" s="31" t="s">
        <v>195</v>
      </c>
      <c r="F39" s="33" t="n">
        <v>13653</v>
      </c>
      <c r="G39" s="33" t="n">
        <v>10549</v>
      </c>
      <c r="H39" s="32" t="s">
        <v>98</v>
      </c>
      <c r="I39" s="32" t="s">
        <v>172</v>
      </c>
      <c r="J39" s="32"/>
      <c r="K39" s="23" t="s">
        <v>92</v>
      </c>
      <c r="L39" s="33" t="n">
        <v>300</v>
      </c>
      <c r="M39" s="33" t="n">
        <v>210</v>
      </c>
      <c r="N39" s="34"/>
      <c r="O39" s="35"/>
      <c r="P39" s="33"/>
      <c r="Q39" s="18"/>
      <c r="R39" s="19" t="s">
        <v>100</v>
      </c>
      <c r="S39" s="19"/>
      <c r="T39" s="20" t="s">
        <v>255</v>
      </c>
      <c r="U39" s="20" t="s">
        <v>86</v>
      </c>
      <c r="V39" s="21"/>
      <c r="W39" s="21"/>
      <c r="X39" s="21"/>
    </row>
    <row r="40" customFormat="false" ht="18" hidden="false" customHeight="true" outlineLevel="0" collapsed="false">
      <c r="A40" s="30" t="s">
        <v>256</v>
      </c>
      <c r="B40" s="31" t="s">
        <v>257</v>
      </c>
      <c r="C40" s="32" t="s">
        <v>238</v>
      </c>
      <c r="D40" s="31" t="s">
        <v>258</v>
      </c>
      <c r="E40" s="31" t="s">
        <v>82</v>
      </c>
      <c r="F40" s="33" t="n">
        <v>17604</v>
      </c>
      <c r="G40" s="33" t="n">
        <v>13226</v>
      </c>
      <c r="H40" s="32" t="s">
        <v>98</v>
      </c>
      <c r="I40" s="32" t="s">
        <v>259</v>
      </c>
      <c r="J40" s="32"/>
      <c r="K40" s="23" t="s">
        <v>92</v>
      </c>
      <c r="L40" s="33" t="n">
        <v>300</v>
      </c>
      <c r="M40" s="33" t="n">
        <v>210</v>
      </c>
      <c r="N40" s="34"/>
      <c r="O40" s="35"/>
      <c r="P40" s="33"/>
      <c r="Q40" s="18"/>
      <c r="R40" s="19" t="s">
        <v>100</v>
      </c>
      <c r="S40" s="19" t="s">
        <v>260</v>
      </c>
      <c r="T40" s="20" t="s">
        <v>261</v>
      </c>
      <c r="U40" s="20" t="s">
        <v>72</v>
      </c>
      <c r="V40" s="21"/>
      <c r="W40" s="21"/>
      <c r="X40" s="21"/>
    </row>
    <row r="41" customFormat="false" ht="18" hidden="false" customHeight="true" outlineLevel="0" collapsed="false">
      <c r="A41" s="30" t="s">
        <v>262</v>
      </c>
      <c r="B41" s="31" t="s">
        <v>111</v>
      </c>
      <c r="C41" s="32" t="s">
        <v>238</v>
      </c>
      <c r="D41" s="31" t="s">
        <v>263</v>
      </c>
      <c r="E41" s="31" t="s">
        <v>120</v>
      </c>
      <c r="F41" s="33" t="n">
        <v>53672</v>
      </c>
      <c r="G41" s="33" t="n">
        <v>36619</v>
      </c>
      <c r="H41" s="32" t="s">
        <v>264</v>
      </c>
      <c r="I41" s="32" t="s">
        <v>265</v>
      </c>
      <c r="J41" s="32"/>
      <c r="K41" s="23" t="s">
        <v>92</v>
      </c>
      <c r="L41" s="33" t="n">
        <v>300</v>
      </c>
      <c r="M41" s="33" t="n">
        <v>210</v>
      </c>
      <c r="N41" s="34"/>
      <c r="O41" s="35"/>
      <c r="P41" s="33"/>
      <c r="Q41" s="18"/>
      <c r="R41" s="19" t="s">
        <v>115</v>
      </c>
      <c r="S41" s="19" t="s">
        <v>184</v>
      </c>
      <c r="T41" s="20" t="s">
        <v>266</v>
      </c>
      <c r="U41" s="20" t="s">
        <v>72</v>
      </c>
      <c r="V41" s="21"/>
      <c r="W41" s="21"/>
      <c r="X41" s="21"/>
    </row>
    <row r="42" customFormat="false" ht="18" hidden="false" customHeight="true" outlineLevel="0" collapsed="false">
      <c r="A42" s="30" t="s">
        <v>267</v>
      </c>
      <c r="B42" s="31" t="s">
        <v>62</v>
      </c>
      <c r="C42" s="32" t="s">
        <v>238</v>
      </c>
      <c r="D42" s="31" t="s">
        <v>268</v>
      </c>
      <c r="E42" s="31" t="s">
        <v>120</v>
      </c>
      <c r="F42" s="33" t="n">
        <v>83073</v>
      </c>
      <c r="G42" s="33" t="n">
        <v>59404</v>
      </c>
      <c r="H42" s="32" t="s">
        <v>269</v>
      </c>
      <c r="I42" s="32" t="s">
        <v>270</v>
      </c>
      <c r="J42" s="32"/>
      <c r="K42" s="15" t="s">
        <v>68</v>
      </c>
      <c r="L42" s="33" t="n">
        <v>300</v>
      </c>
      <c r="M42" s="33" t="n">
        <v>210</v>
      </c>
      <c r="N42" s="34" t="n">
        <v>75000</v>
      </c>
      <c r="O42" s="35" t="n">
        <v>100</v>
      </c>
      <c r="P42" s="33" t="n">
        <v>1</v>
      </c>
      <c r="Q42" s="18"/>
      <c r="R42" s="19" t="s">
        <v>167</v>
      </c>
      <c r="S42" s="19" t="s">
        <v>184</v>
      </c>
      <c r="T42" s="20"/>
      <c r="U42" s="20" t="s">
        <v>72</v>
      </c>
      <c r="V42" s="21"/>
      <c r="W42" s="21"/>
      <c r="X42" s="21"/>
    </row>
    <row r="43" customFormat="false" ht="18" hidden="false" customHeight="true" outlineLevel="0" collapsed="false">
      <c r="A43" s="30" t="s">
        <v>271</v>
      </c>
      <c r="B43" s="31" t="s">
        <v>272</v>
      </c>
      <c r="C43" s="32" t="s">
        <v>238</v>
      </c>
      <c r="D43" s="31" t="s">
        <v>273</v>
      </c>
      <c r="E43" s="31" t="s">
        <v>120</v>
      </c>
      <c r="F43" s="33" t="n">
        <v>26516</v>
      </c>
      <c r="G43" s="33" t="n">
        <v>19220</v>
      </c>
      <c r="H43" s="32" t="s">
        <v>98</v>
      </c>
      <c r="I43" s="32" t="s">
        <v>274</v>
      </c>
      <c r="J43" s="32"/>
      <c r="K43" s="23" t="s">
        <v>92</v>
      </c>
      <c r="L43" s="33" t="n">
        <v>300</v>
      </c>
      <c r="M43" s="33" t="n">
        <v>210</v>
      </c>
      <c r="N43" s="34"/>
      <c r="O43" s="35"/>
      <c r="P43" s="33"/>
      <c r="Q43" s="18"/>
      <c r="R43" s="19" t="s">
        <v>93</v>
      </c>
      <c r="S43" s="19" t="s">
        <v>161</v>
      </c>
      <c r="T43" s="20" t="s">
        <v>275</v>
      </c>
      <c r="U43" s="20" t="s">
        <v>72</v>
      </c>
      <c r="V43" s="21"/>
      <c r="W43" s="21"/>
      <c r="X43" s="21"/>
    </row>
    <row r="44" customFormat="false" ht="18" hidden="false" customHeight="true" outlineLevel="0" collapsed="false">
      <c r="A44" s="30" t="s">
        <v>276</v>
      </c>
      <c r="B44" s="31" t="s">
        <v>208</v>
      </c>
      <c r="C44" s="32" t="s">
        <v>238</v>
      </c>
      <c r="D44" s="31" t="s">
        <v>277</v>
      </c>
      <c r="E44" s="31" t="s">
        <v>75</v>
      </c>
      <c r="F44" s="33" t="n">
        <v>7885</v>
      </c>
      <c r="G44" s="33" t="n">
        <v>7436</v>
      </c>
      <c r="H44" s="32" t="s">
        <v>98</v>
      </c>
      <c r="I44" s="32" t="s">
        <v>278</v>
      </c>
      <c r="J44" s="32"/>
      <c r="K44" s="23" t="s">
        <v>92</v>
      </c>
      <c r="L44" s="33" t="n">
        <v>300</v>
      </c>
      <c r="M44" s="33" t="n">
        <v>210</v>
      </c>
      <c r="N44" s="34"/>
      <c r="O44" s="35"/>
      <c r="P44" s="33"/>
      <c r="Q44" s="18"/>
      <c r="R44" s="19" t="s">
        <v>188</v>
      </c>
      <c r="S44" s="19" t="s">
        <v>184</v>
      </c>
      <c r="T44" s="20"/>
      <c r="U44" s="20" t="s">
        <v>72</v>
      </c>
      <c r="V44" s="21"/>
      <c r="W44" s="21"/>
      <c r="X44" s="21"/>
    </row>
    <row r="45" customFormat="false" ht="18" hidden="false" customHeight="true" outlineLevel="0" collapsed="false">
      <c r="A45" s="30" t="s">
        <v>279</v>
      </c>
      <c r="B45" s="31" t="s">
        <v>208</v>
      </c>
      <c r="C45" s="32" t="s">
        <v>238</v>
      </c>
      <c r="D45" s="31" t="s">
        <v>280</v>
      </c>
      <c r="E45" s="31" t="s">
        <v>120</v>
      </c>
      <c r="F45" s="33" t="n">
        <v>11327</v>
      </c>
      <c r="G45" s="33" t="n">
        <v>8386</v>
      </c>
      <c r="H45" s="32" t="s">
        <v>28</v>
      </c>
      <c r="I45" s="32" t="s">
        <v>259</v>
      </c>
      <c r="J45" s="32"/>
      <c r="K45" s="23" t="s">
        <v>92</v>
      </c>
      <c r="L45" s="33" t="n">
        <v>300</v>
      </c>
      <c r="M45" s="33" t="n">
        <v>210</v>
      </c>
      <c r="N45" s="34"/>
      <c r="O45" s="35"/>
      <c r="P45" s="33"/>
      <c r="Q45" s="18"/>
      <c r="R45" s="19" t="s">
        <v>224</v>
      </c>
      <c r="S45" s="19" t="s">
        <v>161</v>
      </c>
      <c r="T45" s="20" t="s">
        <v>281</v>
      </c>
      <c r="U45" s="20" t="s">
        <v>72</v>
      </c>
      <c r="V45" s="21"/>
      <c r="W45" s="21"/>
      <c r="X45" s="21"/>
    </row>
    <row r="46" customFormat="false" ht="18" hidden="false" customHeight="true" outlineLevel="0" collapsed="false">
      <c r="A46" s="30" t="s">
        <v>282</v>
      </c>
      <c r="B46" s="31" t="s">
        <v>272</v>
      </c>
      <c r="C46" s="32" t="s">
        <v>238</v>
      </c>
      <c r="D46" s="31" t="s">
        <v>283</v>
      </c>
      <c r="E46" s="31" t="s">
        <v>120</v>
      </c>
      <c r="F46" s="33" t="n">
        <v>85407</v>
      </c>
      <c r="G46" s="33" t="n">
        <v>57793</v>
      </c>
      <c r="H46" s="32" t="s">
        <v>26</v>
      </c>
      <c r="I46" s="32" t="s">
        <v>106</v>
      </c>
      <c r="J46" s="32"/>
      <c r="K46" s="23" t="s">
        <v>92</v>
      </c>
      <c r="L46" s="33" t="n">
        <v>300</v>
      </c>
      <c r="M46" s="33" t="n">
        <v>210</v>
      </c>
      <c r="N46" s="34"/>
      <c r="O46" s="35"/>
      <c r="P46" s="33"/>
      <c r="Q46" s="18"/>
      <c r="R46" s="19" t="s">
        <v>93</v>
      </c>
      <c r="S46" s="19" t="s">
        <v>184</v>
      </c>
      <c r="T46" s="20"/>
      <c r="U46" s="20" t="s">
        <v>72</v>
      </c>
      <c r="V46" s="21"/>
      <c r="W46" s="21"/>
      <c r="X46" s="21"/>
    </row>
    <row r="47" customFormat="false" ht="18" hidden="false" customHeight="true" outlineLevel="0" collapsed="false">
      <c r="A47" s="30" t="s">
        <v>284</v>
      </c>
      <c r="B47" s="31" t="s">
        <v>285</v>
      </c>
      <c r="C47" s="32" t="s">
        <v>238</v>
      </c>
      <c r="D47" s="31" t="s">
        <v>286</v>
      </c>
      <c r="E47" s="31" t="s">
        <v>75</v>
      </c>
      <c r="F47" s="33" t="n">
        <v>126443</v>
      </c>
      <c r="G47" s="33" t="n">
        <v>79874</v>
      </c>
      <c r="H47" s="32" t="s">
        <v>98</v>
      </c>
      <c r="I47" s="32" t="s">
        <v>106</v>
      </c>
      <c r="J47" s="32"/>
      <c r="K47" s="23" t="s">
        <v>92</v>
      </c>
      <c r="L47" s="33" t="n">
        <v>200</v>
      </c>
      <c r="M47" s="33" t="n">
        <v>140</v>
      </c>
      <c r="N47" s="34"/>
      <c r="O47" s="35"/>
      <c r="P47" s="33"/>
      <c r="Q47" s="18"/>
      <c r="R47" s="19" t="s">
        <v>188</v>
      </c>
      <c r="S47" s="19"/>
      <c r="T47" s="20" t="s">
        <v>287</v>
      </c>
      <c r="U47" s="20" t="s">
        <v>86</v>
      </c>
      <c r="V47" s="21"/>
      <c r="W47" s="21"/>
      <c r="X47" s="21"/>
    </row>
    <row r="48" customFormat="false" ht="18" hidden="false" customHeight="true" outlineLevel="0" collapsed="false">
      <c r="A48" s="30" t="s">
        <v>288</v>
      </c>
      <c r="B48" s="31" t="s">
        <v>208</v>
      </c>
      <c r="C48" s="32" t="s">
        <v>238</v>
      </c>
      <c r="D48" s="31" t="s">
        <v>289</v>
      </c>
      <c r="E48" s="31" t="s">
        <v>89</v>
      </c>
      <c r="F48" s="33" t="n">
        <v>14574</v>
      </c>
      <c r="G48" s="33" t="n">
        <v>11003</v>
      </c>
      <c r="H48" s="32" t="s">
        <v>98</v>
      </c>
      <c r="I48" s="32" t="s">
        <v>290</v>
      </c>
      <c r="J48" s="32"/>
      <c r="K48" s="23" t="s">
        <v>92</v>
      </c>
      <c r="L48" s="33" t="n">
        <v>200</v>
      </c>
      <c r="M48" s="33" t="n">
        <v>140</v>
      </c>
      <c r="N48" s="34"/>
      <c r="O48" s="35"/>
      <c r="P48" s="33"/>
      <c r="Q48" s="18"/>
      <c r="R48" s="19" t="s">
        <v>188</v>
      </c>
      <c r="S48" s="19" t="s">
        <v>184</v>
      </c>
      <c r="T48" s="20"/>
      <c r="U48" s="20" t="s">
        <v>72</v>
      </c>
      <c r="V48" s="21"/>
      <c r="W48" s="21"/>
      <c r="X48" s="21"/>
    </row>
    <row r="49" customFormat="false" ht="18" hidden="false" customHeight="true" outlineLevel="0" collapsed="false">
      <c r="A49" s="30" t="s">
        <v>291</v>
      </c>
      <c r="B49" s="31" t="s">
        <v>164</v>
      </c>
      <c r="C49" s="32" t="s">
        <v>238</v>
      </c>
      <c r="D49" s="31" t="s">
        <v>292</v>
      </c>
      <c r="E49" s="31" t="s">
        <v>75</v>
      </c>
      <c r="F49" s="33" t="n">
        <v>25912</v>
      </c>
      <c r="G49" s="33" t="n">
        <v>19034</v>
      </c>
      <c r="H49" s="32" t="s">
        <v>98</v>
      </c>
      <c r="I49" s="32" t="s">
        <v>293</v>
      </c>
      <c r="J49" s="32"/>
      <c r="K49" s="23" t="s">
        <v>92</v>
      </c>
      <c r="L49" s="33" t="n">
        <v>200</v>
      </c>
      <c r="M49" s="33" t="n">
        <v>140</v>
      </c>
      <c r="N49" s="34"/>
      <c r="O49" s="35"/>
      <c r="P49" s="33"/>
      <c r="Q49" s="18"/>
      <c r="R49" s="19" t="s">
        <v>294</v>
      </c>
      <c r="S49" s="19"/>
      <c r="T49" s="20" t="s">
        <v>255</v>
      </c>
      <c r="U49" s="20" t="s">
        <v>86</v>
      </c>
      <c r="V49" s="21"/>
      <c r="W49" s="21"/>
      <c r="X49" s="21"/>
    </row>
    <row r="50" customFormat="false" ht="18" hidden="false" customHeight="true" outlineLevel="0" collapsed="false">
      <c r="A50" s="30" t="s">
        <v>295</v>
      </c>
      <c r="B50" s="31" t="s">
        <v>208</v>
      </c>
      <c r="C50" s="32" t="s">
        <v>238</v>
      </c>
      <c r="D50" s="31"/>
      <c r="E50" s="31" t="s">
        <v>296</v>
      </c>
      <c r="F50" s="33" t="n">
        <v>5514</v>
      </c>
      <c r="G50" s="33" t="n">
        <v>4309</v>
      </c>
      <c r="H50" s="32" t="s">
        <v>26</v>
      </c>
      <c r="I50" s="32" t="s">
        <v>179</v>
      </c>
      <c r="J50" s="32"/>
      <c r="K50" s="23" t="s">
        <v>92</v>
      </c>
      <c r="L50" s="33" t="n">
        <v>200</v>
      </c>
      <c r="M50" s="33" t="n">
        <v>140</v>
      </c>
      <c r="N50" s="34"/>
      <c r="O50" s="35"/>
      <c r="P50" s="33"/>
      <c r="Q50" s="18"/>
      <c r="R50" s="19" t="s">
        <v>224</v>
      </c>
      <c r="S50" s="19" t="s">
        <v>297</v>
      </c>
      <c r="T50" s="20" t="s">
        <v>298</v>
      </c>
      <c r="U50" s="20" t="s">
        <v>72</v>
      </c>
      <c r="V50" s="21"/>
      <c r="W50" s="21"/>
      <c r="X50" s="21"/>
    </row>
    <row r="51" customFormat="false" ht="18" hidden="false" customHeight="true" outlineLevel="0" collapsed="false">
      <c r="A51" s="30" t="s">
        <v>299</v>
      </c>
      <c r="B51" s="31" t="s">
        <v>208</v>
      </c>
      <c r="C51" s="32" t="s">
        <v>238</v>
      </c>
      <c r="D51" s="31" t="s">
        <v>300</v>
      </c>
      <c r="E51" s="31" t="s">
        <v>89</v>
      </c>
      <c r="F51" s="33" t="n">
        <v>6509</v>
      </c>
      <c r="G51" s="33" t="n">
        <v>4752</v>
      </c>
      <c r="H51" s="32" t="s">
        <v>98</v>
      </c>
      <c r="I51" s="32" t="s">
        <v>301</v>
      </c>
      <c r="J51" s="32"/>
      <c r="K51" s="23" t="s">
        <v>92</v>
      </c>
      <c r="L51" s="33" t="n">
        <v>200</v>
      </c>
      <c r="M51" s="33" t="n">
        <v>140</v>
      </c>
      <c r="N51" s="34"/>
      <c r="O51" s="35"/>
      <c r="P51" s="33"/>
      <c r="Q51" s="18"/>
      <c r="R51" s="19" t="s">
        <v>188</v>
      </c>
      <c r="S51" s="19" t="s">
        <v>184</v>
      </c>
      <c r="T51" s="20"/>
      <c r="U51" s="20" t="s">
        <v>72</v>
      </c>
      <c r="V51" s="21"/>
      <c r="W51" s="21"/>
      <c r="X51" s="21"/>
    </row>
    <row r="52" customFormat="false" ht="18" hidden="false" customHeight="true" outlineLevel="0" collapsed="false">
      <c r="A52" s="30" t="s">
        <v>302</v>
      </c>
      <c r="B52" s="31"/>
      <c r="C52" s="32" t="s">
        <v>238</v>
      </c>
      <c r="D52" s="31" t="s">
        <v>303</v>
      </c>
      <c r="E52" s="31" t="s">
        <v>304</v>
      </c>
      <c r="F52" s="33" t="n">
        <v>9616</v>
      </c>
      <c r="G52" s="33" t="n">
        <v>7779</v>
      </c>
      <c r="H52" s="32" t="s">
        <v>28</v>
      </c>
      <c r="I52" s="32" t="s">
        <v>179</v>
      </c>
      <c r="J52" s="32"/>
      <c r="K52" s="23" t="s">
        <v>92</v>
      </c>
      <c r="L52" s="33" t="n">
        <v>150</v>
      </c>
      <c r="M52" s="33" t="n">
        <v>105</v>
      </c>
      <c r="N52" s="34"/>
      <c r="O52" s="35"/>
      <c r="P52" s="33"/>
      <c r="Q52" s="18"/>
      <c r="R52" s="19" t="s">
        <v>115</v>
      </c>
      <c r="S52" s="19" t="s">
        <v>200</v>
      </c>
      <c r="T52" s="20"/>
      <c r="U52" s="20" t="s">
        <v>72</v>
      </c>
      <c r="V52" s="21"/>
      <c r="W52" s="21"/>
      <c r="X52" s="21"/>
    </row>
    <row r="53" customFormat="false" ht="18" hidden="false" customHeight="true" outlineLevel="0" collapsed="false">
      <c r="A53" s="30" t="s">
        <v>305</v>
      </c>
      <c r="B53" s="31" t="s">
        <v>306</v>
      </c>
      <c r="C53" s="32" t="s">
        <v>238</v>
      </c>
      <c r="D53" s="31" t="s">
        <v>307</v>
      </c>
      <c r="E53" s="31" t="s">
        <v>75</v>
      </c>
      <c r="F53" s="33" t="n">
        <v>9442</v>
      </c>
      <c r="G53" s="33" t="n">
        <v>7411</v>
      </c>
      <c r="H53" s="32" t="s">
        <v>26</v>
      </c>
      <c r="I53" s="32" t="s">
        <v>308</v>
      </c>
      <c r="J53" s="32"/>
      <c r="K53" s="23" t="s">
        <v>92</v>
      </c>
      <c r="L53" s="33" t="n">
        <v>150</v>
      </c>
      <c r="M53" s="33" t="n">
        <v>105</v>
      </c>
      <c r="N53" s="34"/>
      <c r="O53" s="35"/>
      <c r="P53" s="33"/>
      <c r="Q53" s="18"/>
      <c r="R53" s="19" t="s">
        <v>188</v>
      </c>
      <c r="S53" s="19" t="s">
        <v>184</v>
      </c>
      <c r="T53" s="20"/>
      <c r="U53" s="20" t="s">
        <v>72</v>
      </c>
      <c r="V53" s="21"/>
      <c r="W53" s="21"/>
      <c r="X53" s="21"/>
    </row>
    <row r="54" customFormat="false" ht="18" hidden="false" customHeight="true" outlineLevel="0" collapsed="false">
      <c r="A54" s="30" t="s">
        <v>309</v>
      </c>
      <c r="B54" s="31" t="s">
        <v>164</v>
      </c>
      <c r="C54" s="32" t="s">
        <v>238</v>
      </c>
      <c r="D54" s="31" t="s">
        <v>310</v>
      </c>
      <c r="E54" s="31" t="s">
        <v>82</v>
      </c>
      <c r="F54" s="33" t="n">
        <v>2726</v>
      </c>
      <c r="G54" s="33" t="n">
        <v>2572</v>
      </c>
      <c r="H54" s="32" t="s">
        <v>98</v>
      </c>
      <c r="I54" s="32" t="s">
        <v>106</v>
      </c>
      <c r="J54" s="32"/>
      <c r="K54" s="23" t="s">
        <v>92</v>
      </c>
      <c r="L54" s="33" t="n">
        <v>150</v>
      </c>
      <c r="M54" s="33" t="n">
        <v>105</v>
      </c>
      <c r="N54" s="34"/>
      <c r="O54" s="35"/>
      <c r="P54" s="33"/>
      <c r="Q54" s="18"/>
      <c r="R54" s="19" t="s">
        <v>188</v>
      </c>
      <c r="S54" s="19" t="s">
        <v>184</v>
      </c>
      <c r="T54" s="20"/>
      <c r="U54" s="20" t="s">
        <v>72</v>
      </c>
      <c r="V54" s="21"/>
      <c r="W54" s="21"/>
      <c r="X54" s="21"/>
    </row>
    <row r="55" customFormat="false" ht="18" hidden="false" customHeight="true" outlineLevel="0" collapsed="false">
      <c r="A55" s="30" t="s">
        <v>311</v>
      </c>
      <c r="B55" s="31" t="s">
        <v>164</v>
      </c>
      <c r="C55" s="32" t="s">
        <v>238</v>
      </c>
      <c r="D55" s="31" t="s">
        <v>312</v>
      </c>
      <c r="E55" s="31" t="s">
        <v>82</v>
      </c>
      <c r="F55" s="33" t="n">
        <v>7071</v>
      </c>
      <c r="G55" s="33" t="n">
        <v>5356</v>
      </c>
      <c r="H55" s="32" t="s">
        <v>98</v>
      </c>
      <c r="I55" s="32" t="s">
        <v>179</v>
      </c>
      <c r="J55" s="32"/>
      <c r="K55" s="23" t="s">
        <v>92</v>
      </c>
      <c r="L55" s="33" t="n">
        <v>150</v>
      </c>
      <c r="M55" s="33" t="n">
        <v>105</v>
      </c>
      <c r="N55" s="34"/>
      <c r="O55" s="35"/>
      <c r="P55" s="33"/>
      <c r="Q55" s="18"/>
      <c r="R55" s="19" t="s">
        <v>188</v>
      </c>
      <c r="S55" s="19" t="s">
        <v>184</v>
      </c>
      <c r="T55" s="20"/>
      <c r="U55" s="20" t="s">
        <v>72</v>
      </c>
      <c r="V55" s="21"/>
      <c r="W55" s="21"/>
      <c r="X55" s="21"/>
    </row>
    <row r="56" customFormat="false" ht="18" hidden="false" customHeight="true" outlineLevel="0" collapsed="false">
      <c r="A56" s="30" t="s">
        <v>313</v>
      </c>
      <c r="B56" s="31" t="s">
        <v>164</v>
      </c>
      <c r="C56" s="32" t="s">
        <v>238</v>
      </c>
      <c r="D56" s="31" t="s">
        <v>314</v>
      </c>
      <c r="E56" s="31" t="s">
        <v>120</v>
      </c>
      <c r="F56" s="33" t="n">
        <v>4371</v>
      </c>
      <c r="G56" s="33" t="n">
        <v>3263</v>
      </c>
      <c r="H56" s="32" t="s">
        <v>213</v>
      </c>
      <c r="I56" s="32" t="s">
        <v>192</v>
      </c>
      <c r="J56" s="32"/>
      <c r="K56" s="23" t="s">
        <v>92</v>
      </c>
      <c r="L56" s="33" t="n">
        <v>150</v>
      </c>
      <c r="M56" s="33" t="n">
        <v>105</v>
      </c>
      <c r="N56" s="34"/>
      <c r="O56" s="35"/>
      <c r="P56" s="33"/>
      <c r="Q56" s="18"/>
      <c r="R56" s="19" t="s">
        <v>188</v>
      </c>
      <c r="S56" s="19" t="s">
        <v>184</v>
      </c>
      <c r="T56" s="20"/>
      <c r="U56" s="20" t="s">
        <v>72</v>
      </c>
      <c r="V56" s="21"/>
      <c r="W56" s="21"/>
      <c r="X56" s="21"/>
    </row>
    <row r="57" customFormat="false" ht="18" hidden="false" customHeight="true" outlineLevel="0" collapsed="false">
      <c r="A57" s="30" t="s">
        <v>315</v>
      </c>
      <c r="B57" s="31" t="s">
        <v>164</v>
      </c>
      <c r="C57" s="32" t="s">
        <v>238</v>
      </c>
      <c r="D57" s="31" t="s">
        <v>316</v>
      </c>
      <c r="E57" s="31" t="s">
        <v>120</v>
      </c>
      <c r="F57" s="33" t="n">
        <v>28760</v>
      </c>
      <c r="G57" s="33" t="n">
        <v>19008</v>
      </c>
      <c r="H57" s="32" t="s">
        <v>317</v>
      </c>
      <c r="I57" s="32" t="s">
        <v>318</v>
      </c>
      <c r="J57" s="32"/>
      <c r="K57" s="23" t="s">
        <v>92</v>
      </c>
      <c r="L57" s="33" t="n">
        <v>150</v>
      </c>
      <c r="M57" s="33" t="n">
        <v>105</v>
      </c>
      <c r="N57" s="34"/>
      <c r="O57" s="35"/>
      <c r="P57" s="33"/>
      <c r="Q57" s="18"/>
      <c r="R57" s="19" t="s">
        <v>319</v>
      </c>
      <c r="S57" s="19"/>
      <c r="T57" s="20" t="s">
        <v>255</v>
      </c>
      <c r="U57" s="20" t="s">
        <v>86</v>
      </c>
      <c r="V57" s="21"/>
      <c r="W57" s="21"/>
      <c r="X57" s="21"/>
    </row>
    <row r="58" customFormat="false" ht="18" hidden="false" customHeight="true" outlineLevel="0" collapsed="false">
      <c r="A58" s="30" t="s">
        <v>320</v>
      </c>
      <c r="B58" s="31" t="s">
        <v>164</v>
      </c>
      <c r="C58" s="32" t="s">
        <v>238</v>
      </c>
      <c r="D58" s="31" t="s">
        <v>321</v>
      </c>
      <c r="E58" s="31" t="s">
        <v>82</v>
      </c>
      <c r="F58" s="33" t="n">
        <v>4301</v>
      </c>
      <c r="G58" s="33" t="n">
        <v>3075</v>
      </c>
      <c r="H58" s="32" t="s">
        <v>98</v>
      </c>
      <c r="I58" s="32" t="s">
        <v>322</v>
      </c>
      <c r="J58" s="32"/>
      <c r="K58" s="23" t="s">
        <v>92</v>
      </c>
      <c r="L58" s="33" t="n">
        <v>100</v>
      </c>
      <c r="M58" s="33" t="n">
        <v>70</v>
      </c>
      <c r="N58" s="34"/>
      <c r="O58" s="35"/>
      <c r="P58" s="33"/>
      <c r="Q58" s="18"/>
      <c r="R58" s="19" t="s">
        <v>100</v>
      </c>
      <c r="S58" s="19"/>
      <c r="T58" s="20" t="s">
        <v>255</v>
      </c>
      <c r="U58" s="20" t="s">
        <v>86</v>
      </c>
      <c r="V58" s="21"/>
      <c r="W58" s="21"/>
      <c r="X58" s="21"/>
    </row>
    <row r="59" customFormat="false" ht="18" hidden="false" customHeight="true" outlineLevel="0" collapsed="false">
      <c r="A59" s="30" t="s">
        <v>323</v>
      </c>
      <c r="B59" s="31"/>
      <c r="C59" s="32" t="s">
        <v>238</v>
      </c>
      <c r="D59" s="31"/>
      <c r="E59" s="31"/>
      <c r="F59" s="33"/>
      <c r="G59" s="33" t="n">
        <v>78628</v>
      </c>
      <c r="H59" s="32" t="s">
        <v>324</v>
      </c>
      <c r="I59" s="32"/>
      <c r="J59" s="32"/>
      <c r="K59" s="23" t="s">
        <v>92</v>
      </c>
      <c r="L59" s="33" t="n">
        <v>100</v>
      </c>
      <c r="M59" s="33" t="n">
        <v>70</v>
      </c>
      <c r="N59" s="34"/>
      <c r="O59" s="35"/>
      <c r="P59" s="33"/>
      <c r="Q59" s="18"/>
      <c r="R59" s="19" t="s">
        <v>188</v>
      </c>
      <c r="S59" s="19" t="s">
        <v>184</v>
      </c>
      <c r="T59" s="20"/>
      <c r="U59" s="20" t="s">
        <v>72</v>
      </c>
      <c r="V59" s="21"/>
      <c r="W59" s="21"/>
      <c r="X59" s="21"/>
    </row>
    <row r="60" customFormat="false" ht="18" hidden="false" customHeight="true" outlineLevel="0" collapsed="false">
      <c r="A60" s="30" t="s">
        <v>325</v>
      </c>
      <c r="B60" s="31" t="s">
        <v>62</v>
      </c>
      <c r="C60" s="32" t="s">
        <v>238</v>
      </c>
      <c r="D60" s="31" t="s">
        <v>326</v>
      </c>
      <c r="E60" s="31" t="s">
        <v>89</v>
      </c>
      <c r="F60" s="33" t="n">
        <v>10609</v>
      </c>
      <c r="G60" s="33" t="n">
        <v>7847</v>
      </c>
      <c r="H60" s="32" t="s">
        <v>26</v>
      </c>
      <c r="I60" s="32" t="s">
        <v>327</v>
      </c>
      <c r="J60" s="32"/>
      <c r="K60" s="23" t="s">
        <v>92</v>
      </c>
      <c r="L60" s="33" t="n">
        <v>100</v>
      </c>
      <c r="M60" s="33" t="n">
        <v>70</v>
      </c>
      <c r="N60" s="34"/>
      <c r="O60" s="35"/>
      <c r="P60" s="33"/>
      <c r="Q60" s="18"/>
      <c r="R60" s="19" t="s">
        <v>224</v>
      </c>
      <c r="S60" s="19" t="s">
        <v>184</v>
      </c>
      <c r="T60" s="20"/>
      <c r="U60" s="20" t="s">
        <v>72</v>
      </c>
      <c r="V60" s="21"/>
      <c r="W60" s="21"/>
      <c r="X60" s="21"/>
    </row>
    <row r="61" customFormat="false" ht="18" hidden="false" customHeight="true" outlineLevel="0" collapsed="false">
      <c r="A61" s="30" t="s">
        <v>328</v>
      </c>
      <c r="B61" s="31" t="s">
        <v>208</v>
      </c>
      <c r="C61" s="32" t="s">
        <v>238</v>
      </c>
      <c r="D61" s="31" t="s">
        <v>329</v>
      </c>
      <c r="E61" s="31" t="s">
        <v>89</v>
      </c>
      <c r="F61" s="33" t="n">
        <v>4845</v>
      </c>
      <c r="G61" s="33" t="n">
        <v>3984</v>
      </c>
      <c r="H61" s="32" t="s">
        <v>98</v>
      </c>
      <c r="I61" s="32" t="s">
        <v>330</v>
      </c>
      <c r="J61" s="32"/>
      <c r="K61" s="23" t="s">
        <v>92</v>
      </c>
      <c r="L61" s="33" t="n">
        <v>100</v>
      </c>
      <c r="M61" s="33" t="n">
        <v>70</v>
      </c>
      <c r="N61" s="34"/>
      <c r="O61" s="35"/>
      <c r="P61" s="33"/>
      <c r="Q61" s="18"/>
      <c r="R61" s="19" t="s">
        <v>188</v>
      </c>
      <c r="S61" s="19" t="s">
        <v>184</v>
      </c>
      <c r="T61" s="20"/>
      <c r="U61" s="20" t="s">
        <v>72</v>
      </c>
      <c r="V61" s="21"/>
      <c r="W61" s="21"/>
      <c r="X61" s="21"/>
    </row>
    <row r="62" customFormat="false" ht="18" hidden="false" customHeight="true" outlineLevel="0" collapsed="false">
      <c r="A62" s="30" t="s">
        <v>331</v>
      </c>
      <c r="B62" s="31" t="s">
        <v>164</v>
      </c>
      <c r="C62" s="32" t="s">
        <v>238</v>
      </c>
      <c r="D62" s="31" t="s">
        <v>332</v>
      </c>
      <c r="E62" s="31" t="s">
        <v>75</v>
      </c>
      <c r="F62" s="33" t="n">
        <v>7116</v>
      </c>
      <c r="G62" s="33" t="n">
        <v>5603</v>
      </c>
      <c r="H62" s="32" t="s">
        <v>98</v>
      </c>
      <c r="I62" s="32" t="s">
        <v>106</v>
      </c>
      <c r="J62" s="32"/>
      <c r="K62" s="23" t="s">
        <v>92</v>
      </c>
      <c r="L62" s="33" t="n">
        <v>100</v>
      </c>
      <c r="M62" s="33" t="n">
        <v>70</v>
      </c>
      <c r="N62" s="34"/>
      <c r="O62" s="35"/>
      <c r="P62" s="33"/>
      <c r="Q62" s="18"/>
      <c r="R62" s="19" t="s">
        <v>319</v>
      </c>
      <c r="S62" s="19"/>
      <c r="T62" s="20" t="s">
        <v>255</v>
      </c>
      <c r="U62" s="20" t="s">
        <v>86</v>
      </c>
      <c r="V62" s="21"/>
      <c r="W62" s="21"/>
      <c r="X62" s="21"/>
    </row>
    <row r="63" customFormat="false" ht="18" hidden="false" customHeight="true" outlineLevel="0" collapsed="false">
      <c r="A63" s="36" t="s">
        <v>333</v>
      </c>
      <c r="B63" s="37"/>
      <c r="C63" s="38"/>
      <c r="D63" s="37"/>
      <c r="E63" s="37"/>
      <c r="F63" s="39"/>
      <c r="G63" s="39" t="n">
        <v>19412</v>
      </c>
      <c r="H63" s="38" t="s">
        <v>98</v>
      </c>
      <c r="I63" s="38"/>
      <c r="J63" s="38"/>
      <c r="K63" s="22" t="s">
        <v>84</v>
      </c>
      <c r="L63" s="39"/>
      <c r="M63" s="39"/>
      <c r="N63" s="40"/>
      <c r="O63" s="41"/>
      <c r="P63" s="39"/>
      <c r="Q63" s="18"/>
      <c r="R63" s="19"/>
      <c r="S63" s="19" t="s">
        <v>334</v>
      </c>
      <c r="T63" s="20"/>
      <c r="U63" s="20" t="s">
        <v>72</v>
      </c>
      <c r="V63" s="21"/>
      <c r="W63" s="21"/>
      <c r="X63" s="21"/>
    </row>
    <row r="64" customFormat="false" ht="18" hidden="false" customHeight="true" outlineLevel="0" collapsed="false">
      <c r="A64" s="36" t="s">
        <v>335</v>
      </c>
      <c r="B64" s="37"/>
      <c r="C64" s="38"/>
      <c r="D64" s="37"/>
      <c r="E64" s="37"/>
      <c r="F64" s="39"/>
      <c r="G64" s="39" t="n">
        <v>112152</v>
      </c>
      <c r="H64" s="38" t="s">
        <v>32</v>
      </c>
      <c r="I64" s="38"/>
      <c r="J64" s="38"/>
      <c r="K64" s="22" t="s">
        <v>84</v>
      </c>
      <c r="L64" s="39"/>
      <c r="M64" s="39"/>
      <c r="N64" s="40"/>
      <c r="O64" s="41"/>
      <c r="P64" s="39"/>
      <c r="Q64" s="18"/>
      <c r="R64" s="19"/>
      <c r="S64" s="19" t="s">
        <v>334</v>
      </c>
      <c r="T64" s="20"/>
      <c r="U64" s="20" t="s">
        <v>72</v>
      </c>
      <c r="V64" s="21"/>
      <c r="W64" s="21"/>
      <c r="X64" s="21"/>
    </row>
    <row r="65" customFormat="false" ht="18" hidden="false" customHeight="true" outlineLevel="0" collapsed="false">
      <c r="A65" s="36" t="s">
        <v>336</v>
      </c>
      <c r="B65" s="37"/>
      <c r="C65" s="38"/>
      <c r="D65" s="37"/>
      <c r="E65" s="37"/>
      <c r="F65" s="39"/>
      <c r="G65" s="39" t="n">
        <v>37946</v>
      </c>
      <c r="H65" s="38" t="s">
        <v>26</v>
      </c>
      <c r="I65" s="38"/>
      <c r="J65" s="38"/>
      <c r="K65" s="22" t="s">
        <v>84</v>
      </c>
      <c r="L65" s="39"/>
      <c r="M65" s="39"/>
      <c r="N65" s="40"/>
      <c r="O65" s="41"/>
      <c r="P65" s="39"/>
      <c r="Q65" s="18"/>
      <c r="R65" s="19"/>
      <c r="S65" s="19" t="s">
        <v>334</v>
      </c>
      <c r="T65" s="20"/>
      <c r="U65" s="20" t="s">
        <v>72</v>
      </c>
      <c r="V65" s="21"/>
      <c r="W65" s="21"/>
      <c r="X65" s="21"/>
    </row>
    <row r="66" customFormat="false" ht="18" hidden="false" customHeight="true" outlineLevel="0" collapsed="false">
      <c r="A66" s="36" t="s">
        <v>337</v>
      </c>
      <c r="B66" s="37"/>
      <c r="C66" s="38"/>
      <c r="D66" s="37"/>
      <c r="E66" s="37"/>
      <c r="F66" s="39"/>
      <c r="G66" s="39" t="n">
        <v>26247</v>
      </c>
      <c r="H66" s="38" t="s">
        <v>98</v>
      </c>
      <c r="I66" s="38"/>
      <c r="J66" s="38"/>
      <c r="K66" s="22" t="s">
        <v>84</v>
      </c>
      <c r="L66" s="39"/>
      <c r="M66" s="39"/>
      <c r="N66" s="40"/>
      <c r="O66" s="41"/>
      <c r="P66" s="39"/>
      <c r="Q66" s="18"/>
      <c r="R66" s="19"/>
      <c r="S66" s="19" t="s">
        <v>338</v>
      </c>
      <c r="T66" s="20" t="s">
        <v>338</v>
      </c>
      <c r="U66" s="20" t="s">
        <v>72</v>
      </c>
      <c r="V66" s="21"/>
      <c r="W66" s="21"/>
      <c r="X66" s="21"/>
    </row>
    <row r="67" customFormat="false" ht="18" hidden="false" customHeight="true" outlineLevel="0" collapsed="false">
      <c r="A67" s="36" t="s">
        <v>339</v>
      </c>
      <c r="B67" s="37" t="s">
        <v>285</v>
      </c>
      <c r="C67" s="38"/>
      <c r="D67" s="37" t="s">
        <v>340</v>
      </c>
      <c r="E67" s="37" t="s">
        <v>82</v>
      </c>
      <c r="F67" s="39" t="n">
        <v>72555</v>
      </c>
      <c r="G67" s="39" t="n">
        <v>49326</v>
      </c>
      <c r="H67" s="38" t="s">
        <v>32</v>
      </c>
      <c r="I67" s="38" t="s">
        <v>91</v>
      </c>
      <c r="J67" s="38"/>
      <c r="K67" s="22" t="s">
        <v>84</v>
      </c>
      <c r="L67" s="39"/>
      <c r="M67" s="39"/>
      <c r="N67" s="40"/>
      <c r="O67" s="41"/>
      <c r="P67" s="39"/>
      <c r="Q67" s="18"/>
      <c r="R67" s="19" t="s">
        <v>93</v>
      </c>
      <c r="S67" s="19"/>
      <c r="T67" s="20" t="s">
        <v>287</v>
      </c>
      <c r="U67" s="20" t="s">
        <v>86</v>
      </c>
      <c r="V67" s="21"/>
      <c r="W67" s="21"/>
      <c r="X67" s="21"/>
    </row>
    <row r="68" customFormat="false" ht="18" hidden="false" customHeight="true" outlineLevel="0" collapsed="false">
      <c r="A68" s="36" t="s">
        <v>341</v>
      </c>
      <c r="B68" s="37"/>
      <c r="C68" s="38"/>
      <c r="D68" s="37"/>
      <c r="E68" s="37"/>
      <c r="F68" s="39"/>
      <c r="G68" s="39" t="n">
        <v>2577</v>
      </c>
      <c r="H68" s="38" t="s">
        <v>98</v>
      </c>
      <c r="I68" s="38"/>
      <c r="J68" s="38"/>
      <c r="K68" s="22" t="s">
        <v>84</v>
      </c>
      <c r="L68" s="39"/>
      <c r="M68" s="39"/>
      <c r="N68" s="40"/>
      <c r="O68" s="41"/>
      <c r="P68" s="39"/>
      <c r="Q68" s="18"/>
      <c r="R68" s="19"/>
      <c r="S68" s="19" t="s">
        <v>334</v>
      </c>
      <c r="T68" s="20"/>
      <c r="U68" s="20" t="s">
        <v>72</v>
      </c>
      <c r="V68" s="21"/>
      <c r="W68" s="21"/>
      <c r="X68" s="21"/>
    </row>
    <row r="69" customFormat="false" ht="18" hidden="false" customHeight="true" outlineLevel="0" collapsed="false">
      <c r="A69" s="36" t="s">
        <v>342</v>
      </c>
      <c r="B69" s="37" t="s">
        <v>164</v>
      </c>
      <c r="C69" s="38"/>
      <c r="D69" s="37" t="s">
        <v>343</v>
      </c>
      <c r="E69" s="37" t="s">
        <v>82</v>
      </c>
      <c r="F69" s="39" t="n">
        <v>37287</v>
      </c>
      <c r="G69" s="39" t="n">
        <v>26837</v>
      </c>
      <c r="H69" s="38" t="s">
        <v>26</v>
      </c>
      <c r="I69" s="38" t="s">
        <v>293</v>
      </c>
      <c r="J69" s="38"/>
      <c r="K69" s="22" t="s">
        <v>84</v>
      </c>
      <c r="L69" s="39"/>
      <c r="M69" s="39"/>
      <c r="N69" s="40" t="n">
        <v>60000</v>
      </c>
      <c r="O69" s="41" t="n">
        <v>120</v>
      </c>
      <c r="P69" s="39" t="n">
        <v>1</v>
      </c>
      <c r="Q69" s="18"/>
      <c r="R69" s="19" t="s">
        <v>100</v>
      </c>
      <c r="S69" s="19"/>
      <c r="T69" s="20" t="s">
        <v>255</v>
      </c>
      <c r="U69" s="20" t="s">
        <v>86</v>
      </c>
      <c r="V69" s="21"/>
      <c r="W69" s="21"/>
      <c r="X69" s="21"/>
    </row>
    <row r="70" customFormat="false" ht="18" hidden="false" customHeight="true" outlineLevel="0" collapsed="false">
      <c r="A70" s="36" t="s">
        <v>344</v>
      </c>
      <c r="B70" s="37"/>
      <c r="C70" s="38"/>
      <c r="D70" s="37"/>
      <c r="E70" s="37"/>
      <c r="F70" s="39"/>
      <c r="G70" s="39" t="n">
        <v>59347</v>
      </c>
      <c r="H70" s="38" t="s">
        <v>26</v>
      </c>
      <c r="I70" s="38"/>
      <c r="J70" s="38"/>
      <c r="K70" s="22" t="s">
        <v>84</v>
      </c>
      <c r="L70" s="39"/>
      <c r="M70" s="39"/>
      <c r="N70" s="40"/>
      <c r="O70" s="41"/>
      <c r="P70" s="39"/>
      <c r="Q70" s="18"/>
      <c r="R70" s="19"/>
      <c r="S70" s="19" t="s">
        <v>334</v>
      </c>
      <c r="T70" s="20"/>
      <c r="U70" s="20" t="s">
        <v>72</v>
      </c>
      <c r="V70" s="21"/>
      <c r="W70" s="21"/>
      <c r="X70" s="21"/>
    </row>
    <row r="71" customFormat="false" ht="18" hidden="false" customHeight="true" outlineLevel="0" collapsed="false">
      <c r="A71" s="36" t="s">
        <v>345</v>
      </c>
      <c r="B71" s="37" t="s">
        <v>164</v>
      </c>
      <c r="C71" s="38"/>
      <c r="D71" s="37" t="s">
        <v>346</v>
      </c>
      <c r="E71" s="37" t="s">
        <v>89</v>
      </c>
      <c r="F71" s="39" t="n">
        <v>19593</v>
      </c>
      <c r="G71" s="39" t="n">
        <v>14928</v>
      </c>
      <c r="H71" s="38" t="s">
        <v>30</v>
      </c>
      <c r="I71" s="38" t="s">
        <v>140</v>
      </c>
      <c r="J71" s="38"/>
      <c r="K71" s="22" t="s">
        <v>84</v>
      </c>
      <c r="L71" s="39"/>
      <c r="M71" s="39"/>
      <c r="N71" s="40"/>
      <c r="O71" s="41"/>
      <c r="P71" s="39"/>
      <c r="Q71" s="18"/>
      <c r="R71" s="19" t="s">
        <v>188</v>
      </c>
      <c r="S71" s="19" t="s">
        <v>184</v>
      </c>
      <c r="T71" s="20"/>
      <c r="U71" s="20" t="s">
        <v>72</v>
      </c>
      <c r="V71" s="21"/>
      <c r="W71" s="21"/>
      <c r="X71" s="21"/>
    </row>
    <row r="72" customFormat="false" ht="18" hidden="false" customHeight="true" outlineLevel="0" collapsed="false">
      <c r="A72" s="36" t="s">
        <v>347</v>
      </c>
      <c r="B72" s="37"/>
      <c r="C72" s="38"/>
      <c r="D72" s="37"/>
      <c r="E72" s="37"/>
      <c r="F72" s="39"/>
      <c r="G72" s="39" t="n">
        <v>21329</v>
      </c>
      <c r="H72" s="38" t="s">
        <v>26</v>
      </c>
      <c r="I72" s="38"/>
      <c r="J72" s="38"/>
      <c r="K72" s="22" t="s">
        <v>84</v>
      </c>
      <c r="L72" s="39"/>
      <c r="M72" s="39"/>
      <c r="N72" s="40"/>
      <c r="O72" s="41"/>
      <c r="P72" s="39"/>
      <c r="Q72" s="18"/>
      <c r="R72" s="19"/>
      <c r="S72" s="19" t="s">
        <v>334</v>
      </c>
      <c r="T72" s="20"/>
      <c r="U72" s="20" t="s">
        <v>72</v>
      </c>
      <c r="V72" s="21"/>
      <c r="W72" s="21"/>
      <c r="X72" s="21"/>
    </row>
    <row r="73" customFormat="false" ht="18" hidden="false" customHeight="true" outlineLevel="0" collapsed="false">
      <c r="A73" s="36" t="s">
        <v>348</v>
      </c>
      <c r="B73" s="37"/>
      <c r="C73" s="38"/>
      <c r="D73" s="37"/>
      <c r="E73" s="37"/>
      <c r="F73" s="39"/>
      <c r="G73" s="39" t="n">
        <v>11074</v>
      </c>
      <c r="H73" s="38" t="s">
        <v>98</v>
      </c>
      <c r="I73" s="38"/>
      <c r="J73" s="38"/>
      <c r="K73" s="22" t="s">
        <v>84</v>
      </c>
      <c r="L73" s="39"/>
      <c r="M73" s="39"/>
      <c r="N73" s="40"/>
      <c r="O73" s="41"/>
      <c r="P73" s="39"/>
      <c r="Q73" s="18"/>
      <c r="R73" s="19"/>
      <c r="S73" s="19" t="s">
        <v>334</v>
      </c>
      <c r="T73" s="20"/>
      <c r="U73" s="20" t="s">
        <v>72</v>
      </c>
      <c r="V73" s="21"/>
      <c r="W73" s="21"/>
      <c r="X73" s="21"/>
    </row>
    <row r="74" customFormat="false" ht="18" hidden="false" customHeight="true" outlineLevel="0" collapsed="false">
      <c r="A74" s="36" t="s">
        <v>349</v>
      </c>
      <c r="B74" s="37"/>
      <c r="C74" s="38"/>
      <c r="D74" s="37"/>
      <c r="E74" s="37"/>
      <c r="F74" s="39"/>
      <c r="G74" s="39" t="n">
        <v>29788</v>
      </c>
      <c r="H74" s="38" t="s">
        <v>98</v>
      </c>
      <c r="I74" s="38"/>
      <c r="J74" s="38"/>
      <c r="K74" s="22" t="s">
        <v>84</v>
      </c>
      <c r="L74" s="39"/>
      <c r="M74" s="39"/>
      <c r="N74" s="40"/>
      <c r="O74" s="41"/>
      <c r="P74" s="39"/>
      <c r="Q74" s="18"/>
      <c r="R74" s="19"/>
      <c r="S74" s="19" t="s">
        <v>334</v>
      </c>
      <c r="T74" s="20"/>
      <c r="U74" s="20" t="s">
        <v>72</v>
      </c>
      <c r="V74" s="21"/>
      <c r="W74" s="21"/>
      <c r="X74" s="21"/>
    </row>
    <row r="75" customFormat="false" ht="18" hidden="false" customHeight="true" outlineLevel="0" collapsed="false">
      <c r="A75" s="36" t="s">
        <v>350</v>
      </c>
      <c r="B75" s="37"/>
      <c r="C75" s="38"/>
      <c r="D75" s="37"/>
      <c r="E75" s="37"/>
      <c r="F75" s="39"/>
      <c r="G75" s="39" t="n">
        <v>18294</v>
      </c>
      <c r="H75" s="38" t="s">
        <v>28</v>
      </c>
      <c r="I75" s="38"/>
      <c r="J75" s="38"/>
      <c r="K75" s="22" t="s">
        <v>84</v>
      </c>
      <c r="L75" s="39"/>
      <c r="M75" s="39"/>
      <c r="N75" s="40"/>
      <c r="O75" s="41"/>
      <c r="P75" s="39"/>
      <c r="Q75" s="18"/>
      <c r="R75" s="19"/>
      <c r="S75" s="19" t="s">
        <v>334</v>
      </c>
      <c r="T75" s="20"/>
      <c r="U75" s="20" t="s">
        <v>72</v>
      </c>
      <c r="V75" s="21"/>
      <c r="W75" s="21"/>
      <c r="X75" s="21"/>
    </row>
    <row r="76" customFormat="false" ht="18" hidden="false" customHeight="true" outlineLevel="0" collapsed="false">
      <c r="A76" s="36" t="s">
        <v>351</v>
      </c>
      <c r="B76" s="37"/>
      <c r="C76" s="38"/>
      <c r="D76" s="37"/>
      <c r="E76" s="37"/>
      <c r="F76" s="39"/>
      <c r="G76" s="39" t="n">
        <v>6122</v>
      </c>
      <c r="H76" s="38" t="s">
        <v>98</v>
      </c>
      <c r="I76" s="38"/>
      <c r="J76" s="38"/>
      <c r="K76" s="22" t="s">
        <v>84</v>
      </c>
      <c r="L76" s="39"/>
      <c r="M76" s="39"/>
      <c r="N76" s="40"/>
      <c r="O76" s="41"/>
      <c r="P76" s="39"/>
      <c r="Q76" s="18"/>
      <c r="R76" s="19"/>
      <c r="S76" s="19" t="s">
        <v>334</v>
      </c>
      <c r="T76" s="20"/>
      <c r="U76" s="20" t="s">
        <v>72</v>
      </c>
      <c r="V76" s="21"/>
      <c r="W76" s="21"/>
      <c r="X76" s="21"/>
    </row>
    <row r="77" customFormat="false" ht="18" hidden="false" customHeight="true" outlineLevel="0" collapsed="false">
      <c r="A77" s="36" t="s">
        <v>352</v>
      </c>
      <c r="B77" s="37"/>
      <c r="C77" s="38"/>
      <c r="D77" s="37"/>
      <c r="E77" s="37"/>
      <c r="F77" s="39"/>
      <c r="G77" s="39" t="n">
        <v>5306</v>
      </c>
      <c r="H77" s="38" t="s">
        <v>353</v>
      </c>
      <c r="I77" s="38"/>
      <c r="J77" s="38"/>
      <c r="K77" s="22" t="s">
        <v>84</v>
      </c>
      <c r="L77" s="39"/>
      <c r="M77" s="39"/>
      <c r="N77" s="40"/>
      <c r="O77" s="41"/>
      <c r="P77" s="39"/>
      <c r="Q77" s="18"/>
      <c r="R77" s="19"/>
      <c r="S77" s="19" t="s">
        <v>334</v>
      </c>
      <c r="T77" s="20"/>
      <c r="U77" s="20" t="s">
        <v>72</v>
      </c>
      <c r="V77" s="21"/>
      <c r="W77" s="21"/>
      <c r="X77" s="21"/>
    </row>
    <row r="78" customFormat="false" ht="18" hidden="false" customHeight="true" outlineLevel="0" collapsed="false">
      <c r="A78" s="36" t="s">
        <v>354</v>
      </c>
      <c r="B78" s="37"/>
      <c r="C78" s="38"/>
      <c r="D78" s="37"/>
      <c r="E78" s="37"/>
      <c r="F78" s="39"/>
      <c r="G78" s="39" t="n">
        <v>4220</v>
      </c>
      <c r="H78" s="38" t="s">
        <v>98</v>
      </c>
      <c r="I78" s="38"/>
      <c r="J78" s="38"/>
      <c r="K78" s="22" t="s">
        <v>84</v>
      </c>
      <c r="L78" s="39"/>
      <c r="M78" s="39"/>
      <c r="N78" s="40"/>
      <c r="O78" s="41"/>
      <c r="P78" s="39"/>
      <c r="Q78" s="18"/>
      <c r="R78" s="19"/>
      <c r="S78" s="19" t="s">
        <v>334</v>
      </c>
      <c r="T78" s="20"/>
      <c r="U78" s="20" t="s">
        <v>72</v>
      </c>
      <c r="V78" s="21"/>
      <c r="W78" s="21"/>
      <c r="X78" s="21"/>
    </row>
    <row r="79" customFormat="false" ht="18" hidden="false" customHeight="true" outlineLevel="0" collapsed="false">
      <c r="A79" s="36" t="s">
        <v>355</v>
      </c>
      <c r="B79" s="37"/>
      <c r="C79" s="38"/>
      <c r="D79" s="37"/>
      <c r="E79" s="37"/>
      <c r="F79" s="39"/>
      <c r="G79" s="39" t="n">
        <v>3347</v>
      </c>
      <c r="H79" s="38" t="s">
        <v>98</v>
      </c>
      <c r="I79" s="38"/>
      <c r="J79" s="38"/>
      <c r="K79" s="22" t="s">
        <v>84</v>
      </c>
      <c r="L79" s="39"/>
      <c r="M79" s="39"/>
      <c r="N79" s="40"/>
      <c r="O79" s="41"/>
      <c r="P79" s="39"/>
      <c r="Q79" s="18"/>
      <c r="R79" s="19"/>
      <c r="S79" s="19" t="s">
        <v>334</v>
      </c>
      <c r="T79" s="20"/>
      <c r="U79" s="20" t="s">
        <v>72</v>
      </c>
      <c r="V79" s="21"/>
      <c r="W79" s="21"/>
      <c r="X79" s="21"/>
    </row>
    <row r="80" customFormat="false" ht="18" hidden="false" customHeight="true" outlineLevel="0" collapsed="false">
      <c r="A80" s="36" t="s">
        <v>356</v>
      </c>
      <c r="B80" s="37"/>
      <c r="C80" s="38"/>
      <c r="D80" s="37"/>
      <c r="E80" s="37"/>
      <c r="F80" s="39"/>
      <c r="G80" s="39" t="n">
        <v>66925</v>
      </c>
      <c r="H80" s="38" t="s">
        <v>98</v>
      </c>
      <c r="I80" s="38"/>
      <c r="J80" s="38"/>
      <c r="K80" s="22" t="s">
        <v>84</v>
      </c>
      <c r="L80" s="39"/>
      <c r="M80" s="39"/>
      <c r="N80" s="40"/>
      <c r="O80" s="41"/>
      <c r="P80" s="39"/>
      <c r="Q80" s="18"/>
      <c r="R80" s="19"/>
      <c r="S80" s="19" t="s">
        <v>357</v>
      </c>
      <c r="T80" s="20" t="s">
        <v>358</v>
      </c>
      <c r="U80" s="20" t="s">
        <v>72</v>
      </c>
      <c r="V80" s="21"/>
      <c r="W80" s="21"/>
      <c r="X80" s="21"/>
    </row>
    <row r="81" customFormat="false" ht="18" hidden="false" customHeight="true" outlineLevel="0" collapsed="false">
      <c r="A81" s="36" t="s">
        <v>359</v>
      </c>
      <c r="B81" s="37"/>
      <c r="C81" s="38"/>
      <c r="D81" s="37"/>
      <c r="E81" s="37"/>
      <c r="F81" s="39"/>
      <c r="G81" s="39" t="n">
        <v>8599</v>
      </c>
      <c r="H81" s="38" t="s">
        <v>98</v>
      </c>
      <c r="I81" s="38"/>
      <c r="J81" s="38"/>
      <c r="K81" s="22" t="s">
        <v>84</v>
      </c>
      <c r="L81" s="39"/>
      <c r="M81" s="39"/>
      <c r="N81" s="40"/>
      <c r="O81" s="41"/>
      <c r="P81" s="39"/>
      <c r="Q81" s="18"/>
      <c r="R81" s="19"/>
      <c r="S81" s="19" t="s">
        <v>334</v>
      </c>
      <c r="T81" s="20"/>
      <c r="U81" s="20" t="s">
        <v>72</v>
      </c>
      <c r="V81" s="21"/>
      <c r="W81" s="21"/>
      <c r="X81" s="21"/>
    </row>
    <row r="82" customFormat="false" ht="18" hidden="false" customHeight="true" outlineLevel="0" collapsed="false">
      <c r="A82" s="36" t="s">
        <v>360</v>
      </c>
      <c r="B82" s="37"/>
      <c r="C82" s="38"/>
      <c r="D82" s="37"/>
      <c r="E82" s="37"/>
      <c r="F82" s="39"/>
      <c r="G82" s="39" t="n">
        <v>44720</v>
      </c>
      <c r="H82" s="38" t="s">
        <v>30</v>
      </c>
      <c r="I82" s="38"/>
      <c r="J82" s="38"/>
      <c r="K82" s="22" t="s">
        <v>84</v>
      </c>
      <c r="L82" s="39"/>
      <c r="M82" s="39"/>
      <c r="N82" s="40"/>
      <c r="O82" s="41"/>
      <c r="P82" s="39"/>
      <c r="Q82" s="18"/>
      <c r="R82" s="19"/>
      <c r="S82" s="19" t="s">
        <v>334</v>
      </c>
      <c r="T82" s="20"/>
      <c r="U82" s="20" t="s">
        <v>72</v>
      </c>
      <c r="V82" s="21"/>
      <c r="W82" s="21"/>
      <c r="X82" s="21"/>
    </row>
    <row r="83" customFormat="false" ht="15" hidden="false" customHeight="true" outlineLevel="0" collapsed="false">
      <c r="A83" s="42" t="s">
        <v>361</v>
      </c>
      <c r="B83" s="42"/>
      <c r="C83" s="42"/>
      <c r="D83" s="42"/>
      <c r="E83" s="42"/>
      <c r="F83" s="43" t="n">
        <f aca="false">SUM(F4:F82)</f>
        <v>4494146</v>
      </c>
      <c r="G83" s="43" t="n">
        <f aca="false">SUM(G4:G82)</f>
        <v>3553667</v>
      </c>
      <c r="H83" s="44"/>
      <c r="I83" s="44"/>
      <c r="J83" s="44"/>
      <c r="K83" s="44"/>
      <c r="L83" s="43" t="n">
        <f aca="false">SUM(L4:L82)</f>
        <v>75800</v>
      </c>
      <c r="M83" s="43" t="n">
        <f aca="false">SUM(M4:M82)</f>
        <v>53060</v>
      </c>
      <c r="N83" s="45" t="n">
        <f aca="false">SUM(N4:N82)</f>
        <v>2329000</v>
      </c>
      <c r="O83" s="44"/>
      <c r="P83" s="43" t="n">
        <f aca="false">SUM(P4:P82)</f>
        <v>29</v>
      </c>
      <c r="Q83" s="45" t="n">
        <f aca="false">SUM(Q4:Q82)</f>
        <v>0</v>
      </c>
      <c r="R83" s="44"/>
      <c r="S83" s="44"/>
      <c r="T83" s="44"/>
      <c r="U83" s="44"/>
      <c r="V83" s="44"/>
      <c r="W83" s="44"/>
      <c r="X83" s="44"/>
    </row>
  </sheetData>
  <mergeCells count="5">
    <mergeCell ref="A1:X1"/>
    <mergeCell ref="A2:K2"/>
    <mergeCell ref="L2:Q2"/>
    <mergeCell ref="R2:X2"/>
    <mergeCell ref="A83:E83"/>
  </mergeCells>
  <dataValidations count="3">
    <dataValidation allowBlank="true" errorStyle="stop" operator="between" showDropDown="false" showErrorMessage="false" showInputMessage="false" sqref="C4:C300" type="list">
      <formula1>"⭐ A,🔵 B,⚪ C"</formula1>
      <formula2>0</formula2>
    </dataValidation>
    <dataValidation allowBlank="true" errorStyle="stop" operator="between" showDropDown="false" showErrorMessage="false" showInputMessage="false" sqref="K4:K300" type="list">
      <formula1>"✅ OK,⚠️ Atenção,🔴 Crítico,🔘 Sem dados"</formula1>
      <formula2>0</formula2>
    </dataValidation>
    <dataValidation allowBlank="true" errorStyle="stop" operator="between" showDropDown="false" showErrorMessage="false" showInputMessage="false" sqref="U4:U300" type="list">
      <formula1>"Confirmada,Disponível,Em negociação,Não se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9" min="7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16"/>
  </cols>
  <sheetData>
    <row r="1" customFormat="false" ht="27.75" hidden="false" customHeight="true" outlineLevel="0" collapsed="false">
      <c r="A1" s="46" t="s">
        <v>362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customFormat="false" ht="18" hidden="false" customHeight="true" outlineLevel="0" collapsed="false">
      <c r="A2" s="47" t="s">
        <v>363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customFormat="false" ht="30" hidden="false" customHeight="true" outlineLevel="0" collapsed="false">
      <c r="A3" s="44" t="s">
        <v>364</v>
      </c>
      <c r="B3" s="44" t="s">
        <v>365</v>
      </c>
      <c r="C3" s="44" t="s">
        <v>38</v>
      </c>
      <c r="D3" s="44" t="s">
        <v>366</v>
      </c>
      <c r="E3" s="44" t="s">
        <v>367</v>
      </c>
      <c r="F3" s="44" t="s">
        <v>368</v>
      </c>
      <c r="G3" s="44" t="s">
        <v>369</v>
      </c>
      <c r="H3" s="44" t="s">
        <v>370</v>
      </c>
      <c r="I3" s="44" t="s">
        <v>371</v>
      </c>
      <c r="J3" s="44" t="s">
        <v>372</v>
      </c>
      <c r="K3" s="44" t="s">
        <v>373</v>
      </c>
      <c r="L3" s="44" t="s">
        <v>374</v>
      </c>
      <c r="M3" s="44" t="s">
        <v>375</v>
      </c>
    </row>
    <row r="4" customFormat="false" ht="15.75" hidden="false" customHeight="true" outlineLevel="0" collapsed="false">
      <c r="A4" s="48"/>
      <c r="B4" s="48"/>
      <c r="C4" s="21"/>
      <c r="D4" s="21"/>
      <c r="E4" s="21"/>
      <c r="F4" s="48"/>
      <c r="G4" s="21"/>
      <c r="H4" s="21"/>
      <c r="I4" s="18"/>
      <c r="J4" s="21"/>
      <c r="K4" s="48"/>
      <c r="L4" s="21"/>
      <c r="M4" s="48"/>
    </row>
    <row r="5" customFormat="false" ht="15.75" hidden="false" customHeight="true" outlineLevel="0" collapsed="false">
      <c r="A5" s="48"/>
      <c r="B5" s="48"/>
      <c r="C5" s="21"/>
      <c r="D5" s="21"/>
      <c r="E5" s="21"/>
      <c r="F5" s="48"/>
      <c r="G5" s="21"/>
      <c r="H5" s="21"/>
      <c r="I5" s="18"/>
      <c r="J5" s="21"/>
      <c r="K5" s="48"/>
      <c r="L5" s="21"/>
      <c r="M5" s="48"/>
    </row>
    <row r="6" customFormat="false" ht="15.75" hidden="false" customHeight="true" outlineLevel="0" collapsed="false">
      <c r="A6" s="48"/>
      <c r="B6" s="48"/>
      <c r="C6" s="21"/>
      <c r="D6" s="21"/>
      <c r="E6" s="21"/>
      <c r="F6" s="48"/>
      <c r="G6" s="21"/>
      <c r="H6" s="21"/>
      <c r="I6" s="18"/>
      <c r="J6" s="21"/>
      <c r="K6" s="48"/>
      <c r="L6" s="21"/>
      <c r="M6" s="48"/>
    </row>
    <row r="7" customFormat="false" ht="15.75" hidden="false" customHeight="true" outlineLevel="0" collapsed="false">
      <c r="A7" s="48"/>
      <c r="B7" s="48"/>
      <c r="C7" s="21"/>
      <c r="D7" s="21"/>
      <c r="E7" s="21"/>
      <c r="F7" s="48"/>
      <c r="G7" s="21"/>
      <c r="H7" s="21"/>
      <c r="I7" s="18"/>
      <c r="J7" s="21"/>
      <c r="K7" s="48"/>
      <c r="L7" s="21"/>
      <c r="M7" s="48"/>
    </row>
    <row r="8" customFormat="false" ht="15.75" hidden="false" customHeight="true" outlineLevel="0" collapsed="false">
      <c r="A8" s="48"/>
      <c r="B8" s="48"/>
      <c r="C8" s="21"/>
      <c r="D8" s="21"/>
      <c r="E8" s="21"/>
      <c r="F8" s="48"/>
      <c r="G8" s="21"/>
      <c r="H8" s="21"/>
      <c r="I8" s="18"/>
      <c r="J8" s="21"/>
      <c r="K8" s="48"/>
      <c r="L8" s="21"/>
      <c r="M8" s="48"/>
    </row>
    <row r="9" customFormat="false" ht="15.75" hidden="false" customHeight="true" outlineLevel="0" collapsed="false">
      <c r="A9" s="48"/>
      <c r="B9" s="48"/>
      <c r="C9" s="21"/>
      <c r="D9" s="21"/>
      <c r="E9" s="21"/>
      <c r="F9" s="48"/>
      <c r="G9" s="21"/>
      <c r="H9" s="21"/>
      <c r="I9" s="18"/>
      <c r="J9" s="21"/>
      <c r="K9" s="48"/>
      <c r="L9" s="21"/>
      <c r="M9" s="48"/>
    </row>
    <row r="10" customFormat="false" ht="15.75" hidden="false" customHeight="true" outlineLevel="0" collapsed="false">
      <c r="A10" s="48"/>
      <c r="B10" s="48"/>
      <c r="C10" s="21"/>
      <c r="D10" s="21"/>
      <c r="E10" s="21"/>
      <c r="F10" s="48"/>
      <c r="G10" s="21"/>
      <c r="H10" s="21"/>
      <c r="I10" s="18"/>
      <c r="J10" s="21"/>
      <c r="K10" s="48"/>
      <c r="L10" s="21"/>
      <c r="M10" s="48"/>
    </row>
    <row r="11" customFormat="false" ht="15.75" hidden="false" customHeight="true" outlineLevel="0" collapsed="false">
      <c r="A11" s="48"/>
      <c r="B11" s="48"/>
      <c r="C11" s="21"/>
      <c r="D11" s="21"/>
      <c r="E11" s="21"/>
      <c r="F11" s="48"/>
      <c r="G11" s="21"/>
      <c r="H11" s="21"/>
      <c r="I11" s="18"/>
      <c r="J11" s="21"/>
      <c r="K11" s="48"/>
      <c r="L11" s="21"/>
      <c r="M11" s="48"/>
    </row>
  </sheetData>
  <mergeCells count="2">
    <mergeCell ref="A1:M1"/>
    <mergeCell ref="A2:M2"/>
  </mergeCells>
  <dataValidations count="4">
    <dataValidation allowBlank="true" errorStyle="stop" operator="between" showDropDown="false" showErrorMessage="false" showInputMessage="false" sqref="F4:F500" type="list">
      <formula1>"Caminhada,Reunião,Evento,Panfletagem,Café político,Visita,Outro"</formula1>
      <formula2>0</formula2>
    </dataValidation>
    <dataValidation allowBlank="true" errorStyle="stop" operator="between" showDropDown="false" showErrorMessage="false" showInputMessage="false" sqref="J4:J500" type="list">
      <formula1>"Liderança,Logística,Material,Alimentação,Combustível,Mídias,Outro"</formula1>
      <formula2>0</formula2>
    </dataValidation>
    <dataValidation allowBlank="true" errorStyle="stop" operator="between" showDropDown="false" showErrorMessage="false" showInputMessage="false" sqref="K4:K500" type="list">
      <formula1>"Realizada,Cancelada,Adiada,Pendente"</formula1>
      <formula2>0</formula2>
    </dataValidation>
    <dataValidation allowBlank="true" errorStyle="stop" operator="between" showDropDown="false" showErrorMessage="false" showInputMessage="false" sqref="M4:M500" type="list">
      <formula1>"✅ Validado,❌ Rejeitado,⏳ Aguardando"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49" t="s">
        <v>376</v>
      </c>
      <c r="B1" s="49"/>
      <c r="C1" s="49"/>
      <c r="D1" s="49"/>
      <c r="E1" s="49"/>
      <c r="F1" s="49"/>
      <c r="G1" s="49"/>
      <c r="H1" s="49"/>
    </row>
    <row r="2" customFormat="false" ht="36" hidden="false" customHeight="true" outlineLevel="0" collapsed="false">
      <c r="A2" s="50" t="s">
        <v>38</v>
      </c>
      <c r="B2" s="50" t="s">
        <v>377</v>
      </c>
      <c r="C2" s="50" t="s">
        <v>51</v>
      </c>
      <c r="D2" s="50" t="s">
        <v>378</v>
      </c>
      <c r="E2" s="50" t="s">
        <v>379</v>
      </c>
      <c r="F2" s="50" t="s">
        <v>380</v>
      </c>
      <c r="G2" s="50" t="s">
        <v>381</v>
      </c>
      <c r="H2" s="50" t="s">
        <v>382</v>
      </c>
    </row>
    <row r="3" customFormat="false" ht="15.75" hidden="false" customHeight="true" outlineLevel="0" collapsed="false">
      <c r="A3" s="11" t="s">
        <v>61</v>
      </c>
      <c r="B3" s="13" t="s">
        <v>63</v>
      </c>
      <c r="C3" s="51" t="n">
        <v>190000</v>
      </c>
      <c r="D3" s="52" t="n">
        <v>0</v>
      </c>
      <c r="E3" s="53" t="n">
        <f aca="false">C3-D3</f>
        <v>190000</v>
      </c>
      <c r="F3" s="54" t="n">
        <f aca="false">IF(C3&gt;0,D3/C3,0)</f>
        <v>0</v>
      </c>
      <c r="G3" s="14" t="n">
        <v>15000</v>
      </c>
      <c r="H3" s="55" t="str">
        <f aca="false">IF(AND(D3&gt;0,G3&gt;0),D3/G3,"")</f>
        <v/>
      </c>
    </row>
    <row r="4" customFormat="false" ht="15.75" hidden="false" customHeight="true" outlineLevel="0" collapsed="false">
      <c r="A4" s="11" t="s">
        <v>73</v>
      </c>
      <c r="B4" s="13" t="s">
        <v>63</v>
      </c>
      <c r="C4" s="51" t="n">
        <v>453000</v>
      </c>
      <c r="D4" s="52" t="n">
        <v>0</v>
      </c>
      <c r="E4" s="53" t="n">
        <f aca="false">C4-D4</f>
        <v>453000</v>
      </c>
      <c r="F4" s="54" t="n">
        <f aca="false">IF(C4&gt;0,D4/C4,0)</f>
        <v>0</v>
      </c>
      <c r="G4" s="14" t="n">
        <v>10000</v>
      </c>
      <c r="H4" s="55" t="str">
        <f aca="false">IF(AND(D4&gt;0,G4&gt;0),D4/G4,"")</f>
        <v/>
      </c>
    </row>
    <row r="5" customFormat="false" ht="15.75" hidden="false" customHeight="true" outlineLevel="0" collapsed="false">
      <c r="A5" s="11" t="s">
        <v>80</v>
      </c>
      <c r="B5" s="13" t="s">
        <v>63</v>
      </c>
      <c r="C5" s="51" t="n">
        <v>210000</v>
      </c>
      <c r="D5" s="52" t="n">
        <v>0</v>
      </c>
      <c r="E5" s="53" t="n">
        <f aca="false">C5-D5</f>
        <v>210000</v>
      </c>
      <c r="F5" s="54" t="n">
        <f aca="false">IF(C5&gt;0,D5/C5,0)</f>
        <v>0</v>
      </c>
      <c r="G5" s="14" t="n">
        <v>3000</v>
      </c>
      <c r="H5" s="55" t="str">
        <f aca="false">IF(AND(D5&gt;0,G5&gt;0),D5/G5,"")</f>
        <v/>
      </c>
    </row>
    <row r="6" customFormat="false" ht="15.75" hidden="false" customHeight="true" outlineLevel="0" collapsed="false">
      <c r="A6" s="11" t="s">
        <v>102</v>
      </c>
      <c r="B6" s="13" t="s">
        <v>63</v>
      </c>
      <c r="C6" s="51" t="n">
        <v>230000</v>
      </c>
      <c r="D6" s="52" t="n">
        <v>0</v>
      </c>
      <c r="E6" s="53" t="n">
        <f aca="false">C6-D6</f>
        <v>230000</v>
      </c>
      <c r="F6" s="54" t="n">
        <f aca="false">IF(C6&gt;0,D6/C6,0)</f>
        <v>0</v>
      </c>
      <c r="G6" s="14" t="n">
        <v>2000</v>
      </c>
      <c r="H6" s="55" t="str">
        <f aca="false">IF(AND(D6&gt;0,G6&gt;0),D6/G6,"")</f>
        <v/>
      </c>
    </row>
    <row r="7" customFormat="false" ht="15.75" hidden="false" customHeight="true" outlineLevel="0" collapsed="false">
      <c r="A7" s="11" t="s">
        <v>110</v>
      </c>
      <c r="B7" s="13" t="s">
        <v>63</v>
      </c>
      <c r="C7" s="51" t="n">
        <v>60000</v>
      </c>
      <c r="D7" s="52" t="n">
        <v>0</v>
      </c>
      <c r="E7" s="53" t="n">
        <f aca="false">C7-D7</f>
        <v>60000</v>
      </c>
      <c r="F7" s="54" t="n">
        <f aca="false">IF(C7&gt;0,D7/C7,0)</f>
        <v>0</v>
      </c>
      <c r="G7" s="14" t="n">
        <v>2000</v>
      </c>
      <c r="H7" s="55" t="str">
        <f aca="false">IF(AND(D7&gt;0,G7&gt;0),D7/G7,"")</f>
        <v/>
      </c>
    </row>
    <row r="8" customFormat="false" ht="15.75" hidden="false" customHeight="true" outlineLevel="0" collapsed="false">
      <c r="A8" s="11" t="s">
        <v>118</v>
      </c>
      <c r="B8" s="13" t="s">
        <v>63</v>
      </c>
      <c r="C8" s="51" t="n">
        <v>130000</v>
      </c>
      <c r="D8" s="52" t="n">
        <v>0</v>
      </c>
      <c r="E8" s="53" t="n">
        <f aca="false">C8-D8</f>
        <v>130000</v>
      </c>
      <c r="F8" s="54" t="n">
        <f aca="false">IF(C8&gt;0,D8/C8,0)</f>
        <v>0</v>
      </c>
      <c r="G8" s="14" t="n">
        <v>2000</v>
      </c>
      <c r="H8" s="55" t="str">
        <f aca="false">IF(AND(D8&gt;0,G8&gt;0),D8/G8,"")</f>
        <v/>
      </c>
    </row>
    <row r="9" customFormat="false" ht="15.75" hidden="false" customHeight="true" outlineLevel="0" collapsed="false">
      <c r="A9" s="11" t="s">
        <v>144</v>
      </c>
      <c r="B9" s="13" t="s">
        <v>63</v>
      </c>
      <c r="C9" s="51" t="n">
        <v>48000</v>
      </c>
      <c r="D9" s="52" t="n">
        <v>0</v>
      </c>
      <c r="E9" s="53" t="n">
        <f aca="false">C9-D9</f>
        <v>48000</v>
      </c>
      <c r="F9" s="54" t="n">
        <f aca="false">IF(C9&gt;0,D9/C9,0)</f>
        <v>0</v>
      </c>
      <c r="G9" s="14" t="n">
        <v>2000</v>
      </c>
      <c r="H9" s="55" t="str">
        <f aca="false">IF(AND(D9&gt;0,G9&gt;0),D9/G9,"")</f>
        <v/>
      </c>
    </row>
    <row r="10" customFormat="false" ht="15.75" hidden="false" customHeight="true" outlineLevel="0" collapsed="false">
      <c r="A10" s="24" t="s">
        <v>157</v>
      </c>
      <c r="B10" s="26" t="s">
        <v>152</v>
      </c>
      <c r="C10" s="56" t="n">
        <v>300000</v>
      </c>
      <c r="D10" s="52" t="n">
        <v>0</v>
      </c>
      <c r="E10" s="53" t="n">
        <f aca="false">C10-D10</f>
        <v>300000</v>
      </c>
      <c r="F10" s="54" t="n">
        <f aca="false">IF(C10&gt;0,D10/C10,0)</f>
        <v>0</v>
      </c>
      <c r="G10" s="27" t="n">
        <v>1500</v>
      </c>
      <c r="H10" s="55" t="str">
        <f aca="false">IF(AND(D10&gt;0,G10&gt;0),D10/G10,"")</f>
        <v/>
      </c>
    </row>
    <row r="11" customFormat="false" ht="15.75" hidden="false" customHeight="true" outlineLevel="0" collapsed="false">
      <c r="A11" s="24" t="s">
        <v>169</v>
      </c>
      <c r="B11" s="26" t="s">
        <v>152</v>
      </c>
      <c r="C11" s="56" t="n">
        <v>255000</v>
      </c>
      <c r="D11" s="52" t="n">
        <v>0</v>
      </c>
      <c r="E11" s="53" t="n">
        <f aca="false">C11-D11</f>
        <v>255000</v>
      </c>
      <c r="F11" s="54" t="n">
        <f aca="false">IF(C11&gt;0,D11/C11,0)</f>
        <v>0</v>
      </c>
      <c r="G11" s="27" t="n">
        <v>1500</v>
      </c>
      <c r="H11" s="55" t="str">
        <f aca="false">IF(AND(D11&gt;0,G11&gt;0),D11/G11,"")</f>
        <v/>
      </c>
    </row>
    <row r="12" customFormat="false" ht="15.75" hidden="false" customHeight="true" outlineLevel="0" collapsed="false">
      <c r="A12" s="24" t="s">
        <v>193</v>
      </c>
      <c r="B12" s="26" t="s">
        <v>152</v>
      </c>
      <c r="C12" s="56" t="n">
        <v>60000</v>
      </c>
      <c r="D12" s="52" t="n">
        <v>0</v>
      </c>
      <c r="E12" s="53" t="n">
        <f aca="false">C12-D12</f>
        <v>60000</v>
      </c>
      <c r="F12" s="54" t="n">
        <f aca="false">IF(C12&gt;0,D12/C12,0)</f>
        <v>0</v>
      </c>
      <c r="G12" s="27" t="n">
        <v>1000</v>
      </c>
      <c r="H12" s="55" t="str">
        <f aca="false">IF(AND(D12&gt;0,G12&gt;0),D12/G12,"")</f>
        <v/>
      </c>
    </row>
    <row r="13" customFormat="false" ht="15.75" hidden="false" customHeight="true" outlineLevel="0" collapsed="false">
      <c r="A13" s="24" t="s">
        <v>197</v>
      </c>
      <c r="B13" s="26" t="s">
        <v>152</v>
      </c>
      <c r="C13" s="56" t="n">
        <v>80000</v>
      </c>
      <c r="D13" s="52" t="n">
        <v>0</v>
      </c>
      <c r="E13" s="53" t="n">
        <f aca="false">C13-D13</f>
        <v>80000</v>
      </c>
      <c r="F13" s="54" t="n">
        <f aca="false">IF(C13&gt;0,D13/C13,0)</f>
        <v>0</v>
      </c>
      <c r="G13" s="27" t="n">
        <v>1000</v>
      </c>
      <c r="H13" s="55" t="str">
        <f aca="false">IF(AND(D13&gt;0,G13&gt;0),D13/G13,"")</f>
        <v/>
      </c>
    </row>
    <row r="14" customFormat="false" ht="15.75" hidden="false" customHeight="true" outlineLevel="0" collapsed="false">
      <c r="A14" s="24" t="s">
        <v>217</v>
      </c>
      <c r="B14" s="26" t="s">
        <v>152</v>
      </c>
      <c r="C14" s="56" t="n">
        <v>120000</v>
      </c>
      <c r="D14" s="52" t="n">
        <v>0</v>
      </c>
      <c r="E14" s="53" t="n">
        <f aca="false">C14-D14</f>
        <v>120000</v>
      </c>
      <c r="F14" s="54" t="n">
        <f aca="false">IF(C14&gt;0,D14/C14,0)</f>
        <v>0</v>
      </c>
      <c r="G14" s="27" t="n">
        <v>1000</v>
      </c>
      <c r="H14" s="55" t="str">
        <f aca="false">IF(AND(D14&gt;0,G14&gt;0),D14/G14,"")</f>
        <v/>
      </c>
    </row>
    <row r="15" customFormat="false" ht="15.75" hidden="false" customHeight="true" outlineLevel="0" collapsed="false">
      <c r="A15" s="24" t="s">
        <v>229</v>
      </c>
      <c r="B15" s="26" t="s">
        <v>152</v>
      </c>
      <c r="C15" s="56" t="n">
        <v>18000</v>
      </c>
      <c r="D15" s="52" t="n">
        <v>0</v>
      </c>
      <c r="E15" s="53" t="n">
        <f aca="false">C15-D15</f>
        <v>18000</v>
      </c>
      <c r="F15" s="54" t="n">
        <f aca="false">IF(C15&gt;0,D15/C15,0)</f>
        <v>0</v>
      </c>
      <c r="G15" s="27" t="n">
        <v>1000</v>
      </c>
      <c r="H15" s="55" t="str">
        <f aca="false">IF(AND(D15&gt;0,G15&gt;0),D15/G15,"")</f>
        <v/>
      </c>
    </row>
    <row r="16" customFormat="false" ht="15.75" hidden="false" customHeight="true" outlineLevel="0" collapsed="false">
      <c r="A16" s="30" t="s">
        <v>241</v>
      </c>
      <c r="B16" s="32" t="s">
        <v>238</v>
      </c>
      <c r="C16" s="57" t="n">
        <v>40000</v>
      </c>
      <c r="D16" s="52" t="n">
        <v>0</v>
      </c>
      <c r="E16" s="53" t="n">
        <f aca="false">C16-D16</f>
        <v>40000</v>
      </c>
      <c r="F16" s="54" t="n">
        <f aca="false">IF(C16&gt;0,D16/C16,0)</f>
        <v>0</v>
      </c>
      <c r="G16" s="33" t="n">
        <v>500</v>
      </c>
      <c r="H16" s="55" t="str">
        <f aca="false">IF(AND(D16&gt;0,G16&gt;0),D16/G16,"")</f>
        <v/>
      </c>
    </row>
    <row r="17" customFormat="false" ht="15.75" hidden="false" customHeight="true" outlineLevel="0" collapsed="false">
      <c r="A17" s="30" t="s">
        <v>267</v>
      </c>
      <c r="B17" s="32" t="s">
        <v>238</v>
      </c>
      <c r="C17" s="57" t="n">
        <v>75000</v>
      </c>
      <c r="D17" s="52" t="n">
        <v>0</v>
      </c>
      <c r="E17" s="53" t="n">
        <f aca="false">C17-D17</f>
        <v>75000</v>
      </c>
      <c r="F17" s="54" t="n">
        <f aca="false">IF(C17&gt;0,D17/C17,0)</f>
        <v>0</v>
      </c>
      <c r="G17" s="33" t="n">
        <v>300</v>
      </c>
      <c r="H17" s="55" t="str">
        <f aca="false">IF(AND(D17&gt;0,G17&gt;0),D17/G17,"")</f>
        <v/>
      </c>
    </row>
    <row r="18" customFormat="false" ht="15.75" hidden="false" customHeight="true" outlineLevel="0" collapsed="false">
      <c r="A18" s="36" t="s">
        <v>342</v>
      </c>
      <c r="B18" s="38"/>
      <c r="C18" s="58" t="n">
        <v>60000</v>
      </c>
      <c r="D18" s="52" t="n">
        <v>0</v>
      </c>
      <c r="E18" s="53" t="n">
        <f aca="false">C18-D18</f>
        <v>60000</v>
      </c>
      <c r="F18" s="54" t="n">
        <f aca="false">IF(C18&gt;0,D18/C18,0)</f>
        <v>0</v>
      </c>
      <c r="G18" s="39"/>
      <c r="H18" s="55" t="str">
        <f aca="false">IF(AND(D18&gt;0,G18&gt;0),D18/G18,"")</f>
        <v/>
      </c>
    </row>
    <row r="19" customFormat="false" ht="15" hidden="false" customHeight="true" outlineLevel="0" collapsed="false">
      <c r="A19" s="42" t="s">
        <v>383</v>
      </c>
      <c r="B19" s="42"/>
      <c r="C19" s="45" t="n">
        <f aca="false">SUM(C3:C18)</f>
        <v>2329000</v>
      </c>
      <c r="D19" s="45" t="n">
        <f aca="false">SUM(D3:D18)</f>
        <v>0</v>
      </c>
      <c r="E19" s="45" t="n">
        <f aca="false">SUM(E3:E18)</f>
        <v>2329000</v>
      </c>
      <c r="F19" s="59" t="n">
        <f aca="false">IF(C19&gt;0,D19/C19,0)</f>
        <v>0</v>
      </c>
      <c r="G19" s="43" t="n">
        <f aca="false">SUM(G3:G18)</f>
        <v>43800</v>
      </c>
      <c r="H19" s="44"/>
    </row>
    <row r="21" customFormat="false" ht="15" hidden="false" customHeight="false" outlineLevel="0" collapsed="false">
      <c r="A21" s="47" t="s">
        <v>384</v>
      </c>
      <c r="B21" s="47"/>
      <c r="C21" s="47"/>
      <c r="D21" s="47"/>
      <c r="E21" s="47"/>
      <c r="F21" s="47"/>
      <c r="G21" s="47"/>
      <c r="H21" s="47"/>
    </row>
  </sheetData>
  <mergeCells count="3">
    <mergeCell ref="A1:H1"/>
    <mergeCell ref="A19:B19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2026-05-31T19:14:43Z</dcterms:created>
  <dc:creator>openpyxl</dc:creator>
  <dc:description/>
  <dc:language>en-US</dc:language>
  <cp:lastModifiedBy/>
  <dcterms:modified xsi:type="dcterms:W3CDTF">2026-05-31T19:14:44Z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